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<sst xmlns="http://schemas.openxmlformats.org/spreadsheetml/2006/main" count="55" uniqueCount="19">
  <si>
    <t xml:space="preserve">Datos Huerta</t>
  </si>
  <si>
    <t xml:space="preserve">Diametro Tamiz</t>
  </si>
  <si>
    <t xml:space="preserve">Peso suelo</t>
  </si>
  <si>
    <t xml:space="preserve">Diametro prom</t>
  </si>
  <si>
    <t xml:space="preserve">Porcion Suelo</t>
  </si>
  <si>
    <t xml:space="preserve">MWD</t>
  </si>
  <si>
    <t xml:space="preserve">Ejemplo1</t>
  </si>
  <si>
    <t xml:space="preserve">Ejemplo2</t>
  </si>
  <si>
    <t xml:space="preserve">Ejemplo3</t>
  </si>
  <si>
    <t xml:space="preserve">Ejemplo4</t>
  </si>
  <si>
    <t xml:space="preserve">Ejemplo5</t>
  </si>
  <si>
    <t xml:space="preserve">N TAMIZ"</t>
  </si>
  <si>
    <t xml:space="preserve">FAC MALLA mm</t>
  </si>
  <si>
    <t xml:space="preserve">PESO PARCIAL</t>
  </si>
  <si>
    <t xml:space="preserve">% RETENIDO</t>
  </si>
  <si>
    <t xml:space="preserve">% RETENIDO ACUMULADO</t>
  </si>
  <si>
    <t xml:space="preserve">% PASANTE ACUMULADO </t>
  </si>
  <si>
    <t xml:space="preserve">FONDO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</si>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</sst>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"/>
    <numFmt numFmtId="167" formatCode="@"/>
    <numFmt numFmtId="168" formatCode="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nsolas"/>
      <family val="3"/>
      <charset val="1"/>
    </font>
    <font>
      <sz val="11"/>
      <color theme="0"/>
      <name val="Aptos Narrow"/>
      <family val="2"/>
      <charset val="1"/>
    </font>
    <font>
      <sz val="12"/>
      <name val="Consolas"/>
      <family val="3"/>
      <charset val="1"/>
    </font>
    <font>
      <b val="true"/>
      <sz val="12"/>
      <name val="Arial"/>
      <family val="2"/>
      <charset val="1"/>
    </font>
    <font>
      <sz val="11"/>
      <color rgb="FF0061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993366"/>
      </patternFill>
    </fill>
    <fill>
      <patternFill patternType="solid">
        <fgColor theme="9"/>
        <bgColor rgb="FF808000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/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 style="thin">
        <color theme="1"/>
      </right>
      <top/>
      <bottom style="medium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5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17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5" xfId="20"/>
    <cellStyle name="Excel Built-in Accent6" xfId="21"/>
    <cellStyle name="Excel Built-in Goo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true" showOutlineSymbols="true" defaultGridColor="true" view="normal" topLeftCell="A37" colorId="64" zoomScale="120" zoomScaleNormal="120" zoomScalePageLayoutView="100" workbookViewId="0">
      <selection pane="topLeft" activeCell="A67" activeCellId="0" sqref="A67"/>
    </sheetView>
  </sheetViews>
  <sheetFormatPr defaultColWidth="10.3046875" defaultRowHeight="15" customHeight="false" zeroHeight="false" outlineLevelRow="0" outlineLevelCol="0"/>
  <cols>
    <col collapsed="false" customWidth="true" hidden="false" outlineLevel="0" max="1" min="1" style="0" width="20.06"/>
    <col collapsed="false" customWidth="true" hidden="false" outlineLevel="0" max="2" min="2" style="1" width="14.86"/>
    <col collapsed="false" customWidth="true" hidden="false" outlineLevel="0" max="4" min="4" style="1" width="14.29"/>
    <col collapsed="false" customWidth="true" hidden="false" outlineLevel="0" max="5" min="5" style="1" width="13.14"/>
  </cols>
  <sheetData>
    <row r="1" customFormat="false" ht="15" hidden="false" customHeight="false" outlineLevel="0" collapsed="false">
      <c r="B1" s="1" t="s">
        <v>0</v>
      </c>
    </row>
    <row r="3" customFormat="false" ht="15" hidden="false" customHeight="false" outlineLevel="0" collapsed="false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customFormat="false" ht="15" hidden="false" customHeight="false" outlineLevel="0" collapsed="false">
      <c r="B4" s="2" t="n">
        <v>8</v>
      </c>
      <c r="C4" s="3" t="n">
        <v>0</v>
      </c>
      <c r="D4" s="1" t="n">
        <f aca="false">(B4+B5)/2</f>
        <v>6</v>
      </c>
      <c r="E4" s="4" t="n">
        <f aca="false">C4/$C$12</f>
        <v>0</v>
      </c>
      <c r="F4" s="4" t="n">
        <f aca="false">D4*E4</f>
        <v>0</v>
      </c>
    </row>
    <row r="5" customFormat="false" ht="15" hidden="false" customHeight="false" outlineLevel="0" collapsed="false">
      <c r="B5" s="5" t="n">
        <v>4</v>
      </c>
      <c r="C5" s="3" t="n">
        <v>3.4</v>
      </c>
      <c r="D5" s="1" t="n">
        <f aca="false">(B5+B6)/2</f>
        <v>3</v>
      </c>
      <c r="E5" s="4" t="n">
        <f aca="false">C5/$C$12</f>
        <v>0.0178928533838543</v>
      </c>
      <c r="F5" s="4" t="n">
        <f aca="false">D5*E5</f>
        <v>0.053678560151563</v>
      </c>
    </row>
    <row r="6" customFormat="false" ht="15" hidden="false" customHeight="false" outlineLevel="0" collapsed="false">
      <c r="B6" s="5" t="n">
        <v>2</v>
      </c>
      <c r="C6" s="3" t="n">
        <v>21.26</v>
      </c>
      <c r="D6" s="1" t="n">
        <f aca="false">(B6+B7)/2</f>
        <v>1.5</v>
      </c>
      <c r="E6" s="4" t="n">
        <f aca="false">C6/$C$12</f>
        <v>0.111882959688454</v>
      </c>
      <c r="F6" s="4" t="n">
        <f aca="false">D6*E6</f>
        <v>0.167824439532681</v>
      </c>
    </row>
    <row r="7" customFormat="false" ht="15" hidden="false" customHeight="false" outlineLevel="0" collapsed="false">
      <c r="B7" s="5" t="n">
        <v>1</v>
      </c>
      <c r="C7" s="3" t="n">
        <v>34.73</v>
      </c>
      <c r="D7" s="1" t="n">
        <f aca="false">(B7+B8)/2</f>
        <v>0.75</v>
      </c>
      <c r="E7" s="4" t="n">
        <f aca="false">C7/$C$12</f>
        <v>0.182770234712136</v>
      </c>
      <c r="F7" s="4" t="n">
        <f aca="false">D7*E7</f>
        <v>0.137077676034102</v>
      </c>
    </row>
    <row r="8" customFormat="false" ht="15" hidden="false" customHeight="false" outlineLevel="0" collapsed="false">
      <c r="B8" s="5" t="n">
        <v>0.5</v>
      </c>
      <c r="C8" s="3" t="n">
        <v>35.69</v>
      </c>
      <c r="D8" s="1" t="n">
        <f aca="false">(B8+B9)/2</f>
        <v>0.375</v>
      </c>
      <c r="E8" s="4" t="n">
        <f aca="false">C8/$C$12</f>
        <v>0.187822334491106</v>
      </c>
      <c r="F8" s="4" t="n">
        <f aca="false">D8*E8</f>
        <v>0.0704333754341648</v>
      </c>
    </row>
    <row r="9" customFormat="false" ht="15" hidden="false" customHeight="false" outlineLevel="0" collapsed="false">
      <c r="B9" s="5" t="n">
        <v>0.25</v>
      </c>
      <c r="C9" s="3" t="n">
        <v>31.31</v>
      </c>
      <c r="D9" s="1" t="n">
        <f aca="false">(B9+B10)/2</f>
        <v>0.1515</v>
      </c>
      <c r="E9" s="4" t="n">
        <f aca="false">C9/$C$12</f>
        <v>0.164772129249553</v>
      </c>
      <c r="F9" s="4" t="n">
        <f aca="false">D9*E9</f>
        <v>0.0249629775813072</v>
      </c>
    </row>
    <row r="10" customFormat="false" ht="15" hidden="false" customHeight="false" outlineLevel="0" collapsed="false">
      <c r="B10" s="5" t="n">
        <v>0.053</v>
      </c>
      <c r="C10" s="3" t="n">
        <v>38.26</v>
      </c>
      <c r="D10" s="1" t="n">
        <f aca="false">(B10+B11)/2</f>
        <v>0.0265</v>
      </c>
      <c r="E10" s="4" t="n">
        <f aca="false">C10/$C$12</f>
        <v>0.201347226607726</v>
      </c>
      <c r="F10" s="4" t="n">
        <f aca="false">D10*E10</f>
        <v>0.00533570150510473</v>
      </c>
    </row>
    <row r="11" customFormat="false" ht="15" hidden="false" customHeight="false" outlineLevel="0" collapsed="false">
      <c r="A11" s="1" t="s">
        <v>6</v>
      </c>
      <c r="B11" s="6" t="n">
        <v>0</v>
      </c>
      <c r="C11" s="3" t="n">
        <v>25.37</v>
      </c>
      <c r="D11" s="1" t="n">
        <f aca="false">(B11+B12)/2</f>
        <v>0</v>
      </c>
      <c r="E11" s="4" t="n">
        <f aca="false">C11/$C$12</f>
        <v>0.133512261867172</v>
      </c>
      <c r="F11" s="4" t="n">
        <f aca="false">D11*E11</f>
        <v>0</v>
      </c>
    </row>
    <row r="12" customFormat="false" ht="15" hidden="false" customHeight="false" outlineLevel="0" collapsed="false">
      <c r="B12" s="7"/>
      <c r="C12" s="7" t="n">
        <f aca="false">SUM(C4:C11)</f>
        <v>190.02</v>
      </c>
      <c r="D12" s="7"/>
      <c r="E12" s="7"/>
      <c r="F12" s="7" t="n">
        <f aca="false">SUM(F4:F11)</f>
        <v>0.459312730238922</v>
      </c>
    </row>
    <row r="14" customFormat="false" ht="15" hidden="false" customHeight="false" outlineLevel="0" collapsed="false"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customFormat="false" ht="15" hidden="false" customHeight="false" outlineLevel="0" collapsed="false">
      <c r="B15" s="2" t="n">
        <v>10</v>
      </c>
      <c r="C15" s="3" t="n">
        <v>0</v>
      </c>
      <c r="D15" s="1" t="n">
        <f aca="false">(B15+B16)/2</f>
        <v>8.5</v>
      </c>
      <c r="E15" s="4" t="n">
        <f aca="false">C15/$C$23</f>
        <v>0</v>
      </c>
      <c r="F15" s="4" t="n">
        <f aca="false">D15*E15</f>
        <v>0</v>
      </c>
    </row>
    <row r="16" customFormat="false" ht="15" hidden="false" customHeight="false" outlineLevel="0" collapsed="false">
      <c r="B16" s="5" t="n">
        <v>7</v>
      </c>
      <c r="C16" s="3" t="n">
        <v>5.5</v>
      </c>
      <c r="D16" s="1" t="n">
        <f aca="false">(B16+B17)/2</f>
        <v>6.25</v>
      </c>
      <c r="E16" s="4" t="n">
        <f aca="false">C16/$C$23</f>
        <v>0.046717064469549</v>
      </c>
      <c r="F16" s="4" t="n">
        <f aca="false">D16*E16</f>
        <v>0.291981652934681</v>
      </c>
    </row>
    <row r="17" customFormat="false" ht="15" hidden="false" customHeight="false" outlineLevel="0" collapsed="false">
      <c r="B17" s="5" t="n">
        <v>5.5</v>
      </c>
      <c r="C17" s="3" t="n">
        <v>0.25</v>
      </c>
      <c r="D17" s="1" t="n">
        <f aca="false">(B17+B18)/2</f>
        <v>4.95</v>
      </c>
      <c r="E17" s="4" t="n">
        <f aca="false">C17/$C$23</f>
        <v>0.00212350293043404</v>
      </c>
      <c r="F17" s="4" t="n">
        <f aca="false">D17*E17</f>
        <v>0.0105113395056485</v>
      </c>
    </row>
    <row r="18" customFormat="false" ht="15" hidden="false" customHeight="false" outlineLevel="0" collapsed="false">
      <c r="B18" s="5" t="n">
        <v>4.4</v>
      </c>
      <c r="C18" s="3" t="n">
        <v>20.11</v>
      </c>
      <c r="D18" s="1" t="n">
        <f aca="false">(B18+B19)/2</f>
        <v>2.75</v>
      </c>
      <c r="E18" s="4" t="n">
        <f aca="false">C18/$C$23</f>
        <v>0.170814575724115</v>
      </c>
      <c r="F18" s="4" t="n">
        <f aca="false">D18*E18</f>
        <v>0.469740083241315</v>
      </c>
    </row>
    <row r="19" customFormat="false" ht="15" hidden="false" customHeight="false" outlineLevel="0" collapsed="false">
      <c r="B19" s="5" t="n">
        <v>1.1</v>
      </c>
      <c r="C19" s="3" t="n">
        <v>31.5</v>
      </c>
      <c r="D19" s="1" t="n">
        <f aca="false">(B19+B20)/2</f>
        <v>0.675</v>
      </c>
      <c r="E19" s="4" t="n">
        <f aca="false">C19/$C$23</f>
        <v>0.26756136923469</v>
      </c>
      <c r="F19" s="4" t="n">
        <f aca="false">D19*E19</f>
        <v>0.180603924233415</v>
      </c>
    </row>
    <row r="20" customFormat="false" ht="15" hidden="false" customHeight="false" outlineLevel="0" collapsed="false">
      <c r="B20" s="5" t="n">
        <v>0.25</v>
      </c>
      <c r="C20" s="3" t="n">
        <v>10.05</v>
      </c>
      <c r="D20" s="1" t="n">
        <f aca="false">(B20+B21)/2</f>
        <v>0.175</v>
      </c>
      <c r="E20" s="4" t="n">
        <f aca="false">C20/$C$23</f>
        <v>0.0853648178034486</v>
      </c>
      <c r="F20" s="4" t="n">
        <f aca="false">D20*E20</f>
        <v>0.0149388431156035</v>
      </c>
    </row>
    <row r="21" customFormat="false" ht="15" hidden="false" customHeight="false" outlineLevel="0" collapsed="false">
      <c r="B21" s="5" t="n">
        <v>0.1</v>
      </c>
      <c r="C21" s="3" t="n">
        <v>35.1</v>
      </c>
      <c r="D21" s="1" t="n">
        <f aca="false">(B21+B22)/2</f>
        <v>0.075</v>
      </c>
      <c r="E21" s="4" t="n">
        <f aca="false">C21/$C$23</f>
        <v>0.29813981143294</v>
      </c>
      <c r="F21" s="4" t="n">
        <f aca="false">D21*E21</f>
        <v>0.0223604858574705</v>
      </c>
    </row>
    <row r="22" customFormat="false" ht="15" hidden="false" customHeight="false" outlineLevel="0" collapsed="false">
      <c r="A22" s="1" t="s">
        <v>7</v>
      </c>
      <c r="B22" s="6" t="n">
        <v>0.05</v>
      </c>
      <c r="C22" s="3" t="n">
        <v>15.22</v>
      </c>
      <c r="D22" s="1" t="n">
        <f aca="false">(B22+B23)/2</f>
        <v>0.025</v>
      </c>
      <c r="E22" s="4" t="n">
        <f aca="false">C22/$C$23</f>
        <v>0.129278858404825</v>
      </c>
      <c r="F22" s="4" t="n">
        <f aca="false">D22*E22</f>
        <v>0.00323197146012062</v>
      </c>
    </row>
    <row r="23" customFormat="false" ht="15" hidden="false" customHeight="false" outlineLevel="0" collapsed="false">
      <c r="B23" s="7"/>
      <c r="C23" s="7" t="n">
        <f aca="false">SUM(C15:C22)</f>
        <v>117.73</v>
      </c>
      <c r="D23" s="7"/>
      <c r="E23" s="7"/>
      <c r="F23" s="7" t="n">
        <f aca="false">SUM(F15:F22)</f>
        <v>0.993368300348255</v>
      </c>
    </row>
    <row r="25" customFormat="false" ht="15" hidden="false" customHeight="false" outlineLevel="0" collapsed="false"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</row>
    <row r="26" customFormat="false" ht="15" hidden="false" customHeight="false" outlineLevel="0" collapsed="false">
      <c r="B26" s="2" t="n">
        <v>7</v>
      </c>
      <c r="C26" s="3" t="n">
        <v>0</v>
      </c>
      <c r="D26" s="1" t="n">
        <f aca="false">(B26+B27)/2</f>
        <v>5.25</v>
      </c>
      <c r="E26" s="4" t="n">
        <f aca="false">C26/$C$34</f>
        <v>0</v>
      </c>
      <c r="F26" s="4" t="n">
        <f aca="false">D26*E26</f>
        <v>0</v>
      </c>
    </row>
    <row r="27" customFormat="false" ht="15" hidden="false" customHeight="false" outlineLevel="0" collapsed="false">
      <c r="B27" s="5" t="n">
        <v>3.5</v>
      </c>
      <c r="C27" s="3" t="n">
        <v>4.4</v>
      </c>
      <c r="D27" s="1" t="n">
        <f aca="false">(B27+B28)/2</f>
        <v>2.25</v>
      </c>
      <c r="E27" s="4" t="n">
        <f aca="false">C27/$C$34</f>
        <v>0.0241082680401074</v>
      </c>
      <c r="F27" s="4" t="n">
        <f aca="false">D27*E27</f>
        <v>0.0542436030902416</v>
      </c>
    </row>
    <row r="28" customFormat="false" ht="15" hidden="false" customHeight="false" outlineLevel="0" collapsed="false">
      <c r="B28" s="5" t="n">
        <v>1</v>
      </c>
      <c r="C28" s="3" t="n">
        <v>19.3</v>
      </c>
      <c r="D28" s="1" t="n">
        <f aca="false">(B28+B29)/2</f>
        <v>0.75</v>
      </c>
      <c r="E28" s="4" t="n">
        <f aca="false">C28/$C$34</f>
        <v>0.105747630266835</v>
      </c>
      <c r="F28" s="4" t="n">
        <f aca="false">D28*E28</f>
        <v>0.079310722700126</v>
      </c>
    </row>
    <row r="29" customFormat="false" ht="15" hidden="false" customHeight="false" outlineLevel="0" collapsed="false">
      <c r="B29" s="5" t="n">
        <v>0.5</v>
      </c>
      <c r="C29" s="3" t="n">
        <v>30.9</v>
      </c>
      <c r="D29" s="1" t="n">
        <f aca="false">(B29+B30)/2</f>
        <v>0.375</v>
      </c>
      <c r="E29" s="4" t="n">
        <f aca="false">C29/$C$34</f>
        <v>0.169305791463481</v>
      </c>
      <c r="F29" s="4" t="n">
        <f aca="false">D29*E29</f>
        <v>0.0634896717988056</v>
      </c>
    </row>
    <row r="30" customFormat="false" ht="15" hidden="false" customHeight="false" outlineLevel="0" collapsed="false">
      <c r="B30" s="5" t="n">
        <v>0.25</v>
      </c>
      <c r="C30" s="3" t="n">
        <v>36.1</v>
      </c>
      <c r="D30" s="1" t="n">
        <f aca="false">(B30+B31)/2</f>
        <v>0.25</v>
      </c>
      <c r="E30" s="4" t="n">
        <f aca="false">C30/$C$34</f>
        <v>0.197797380965427</v>
      </c>
      <c r="F30" s="4" t="n">
        <f aca="false">D30*E30</f>
        <v>0.0494493452413566</v>
      </c>
    </row>
    <row r="31" customFormat="false" ht="15" hidden="false" customHeight="false" outlineLevel="0" collapsed="false">
      <c r="B31" s="5" t="n">
        <v>0.25</v>
      </c>
      <c r="C31" s="3" t="n">
        <v>31.31</v>
      </c>
      <c r="D31" s="1" t="n">
        <f aca="false">(B31+B32)/2</f>
        <v>0.1515</v>
      </c>
      <c r="E31" s="4" t="n">
        <f aca="false">C31/$C$34</f>
        <v>0.171552243712673</v>
      </c>
      <c r="F31" s="4" t="n">
        <f aca="false">D31*E31</f>
        <v>0.02599016492247</v>
      </c>
    </row>
    <row r="32" customFormat="false" ht="15" hidden="false" customHeight="false" outlineLevel="0" collapsed="false">
      <c r="B32" s="5" t="n">
        <v>0.053</v>
      </c>
      <c r="C32" s="3" t="n">
        <v>39.45</v>
      </c>
      <c r="D32" s="1" t="n">
        <f aca="false">(B32+B33)/2</f>
        <v>0.0265</v>
      </c>
      <c r="E32" s="4" t="n">
        <f aca="false">C32/$C$34</f>
        <v>0.216152539586872</v>
      </c>
      <c r="F32" s="4" t="n">
        <f aca="false">D32*E32</f>
        <v>0.00572804229905211</v>
      </c>
    </row>
    <row r="33" customFormat="false" ht="15" hidden="false" customHeight="false" outlineLevel="0" collapsed="false">
      <c r="A33" s="1" t="s">
        <v>8</v>
      </c>
      <c r="B33" s="6" t="n">
        <v>0</v>
      </c>
      <c r="C33" s="3" t="n">
        <v>21.05</v>
      </c>
      <c r="D33" s="1" t="n">
        <f aca="false">(B33+B34)/2</f>
        <v>0</v>
      </c>
      <c r="E33" s="4" t="n">
        <f aca="false">C33/$C$34</f>
        <v>0.115336145964605</v>
      </c>
      <c r="F33" s="4" t="n">
        <f aca="false">D33*E33</f>
        <v>0</v>
      </c>
    </row>
    <row r="34" customFormat="false" ht="15" hidden="false" customHeight="false" outlineLevel="0" collapsed="false">
      <c r="B34" s="7"/>
      <c r="C34" s="7" t="n">
        <f aca="false">SUM(C26:C33)</f>
        <v>182.51</v>
      </c>
      <c r="D34" s="7"/>
      <c r="E34" s="7"/>
      <c r="F34" s="7" t="n">
        <f aca="false">SUM(F26:F33)</f>
        <v>0.278211550052052</v>
      </c>
    </row>
    <row r="37" customFormat="false" ht="15" hidden="false" customHeight="false" outlineLevel="0" collapsed="false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customFormat="false" ht="15" hidden="false" customHeight="false" outlineLevel="0" collapsed="false">
      <c r="B38" s="2" t="n">
        <v>6.25</v>
      </c>
      <c r="C38" s="3" t="n">
        <v>0</v>
      </c>
      <c r="D38" s="1" t="n">
        <f aca="false">(B38+B39)/2</f>
        <v>5.5</v>
      </c>
      <c r="E38" s="4" t="n">
        <f aca="false">C38/$C$46</f>
        <v>0</v>
      </c>
      <c r="F38" s="4" t="n">
        <f aca="false">D38*E38</f>
        <v>0</v>
      </c>
    </row>
    <row r="39" customFormat="false" ht="15" hidden="false" customHeight="false" outlineLevel="0" collapsed="false">
      <c r="B39" s="5" t="n">
        <v>4.75</v>
      </c>
      <c r="C39" s="3" t="n">
        <v>5.6</v>
      </c>
      <c r="D39" s="1" t="n">
        <f aca="false">(B39+B40)/2</f>
        <v>3.375</v>
      </c>
      <c r="E39" s="4" t="n">
        <f aca="false">C39/$C$46</f>
        <v>0.0323157712505049</v>
      </c>
      <c r="F39" s="4" t="n">
        <f aca="false">D39*E39</f>
        <v>0.109065727970454</v>
      </c>
    </row>
    <row r="40" customFormat="false" ht="15" hidden="false" customHeight="false" outlineLevel="0" collapsed="false">
      <c r="B40" s="5" t="n">
        <v>2</v>
      </c>
      <c r="C40" s="3" t="n">
        <v>14.3</v>
      </c>
      <c r="D40" s="1" t="n">
        <f aca="false">(B40+B41)/2</f>
        <v>1.125</v>
      </c>
      <c r="E40" s="4" t="n">
        <f aca="false">C40/$C$46</f>
        <v>0.0825206301575394</v>
      </c>
      <c r="F40" s="4" t="n">
        <f aca="false">D40*E40</f>
        <v>0.0928357089272318</v>
      </c>
    </row>
    <row r="41" customFormat="false" ht="15" hidden="false" customHeight="false" outlineLevel="0" collapsed="false">
      <c r="B41" s="5" t="n">
        <v>0.25</v>
      </c>
      <c r="C41" s="3" t="n">
        <v>29.3</v>
      </c>
      <c r="D41" s="1" t="n">
        <f aca="false">(B41+B42)/2</f>
        <v>0.1875</v>
      </c>
      <c r="E41" s="4" t="n">
        <f aca="false">C41/$C$46</f>
        <v>0.169080731721392</v>
      </c>
      <c r="F41" s="4" t="n">
        <f aca="false">D41*E41</f>
        <v>0.031702637197761</v>
      </c>
    </row>
    <row r="42" customFormat="false" ht="15" hidden="false" customHeight="false" outlineLevel="0" collapsed="false">
      <c r="B42" s="5" t="n">
        <v>0.125</v>
      </c>
      <c r="C42" s="3" t="n">
        <v>30.33</v>
      </c>
      <c r="D42" s="1" t="n">
        <f aca="false">(B42+B43)/2</f>
        <v>0.1875</v>
      </c>
      <c r="E42" s="4" t="n">
        <f aca="false">C42/$C$46</f>
        <v>0.17502452536211</v>
      </c>
      <c r="F42" s="4" t="n">
        <f aca="false">D42*E42</f>
        <v>0.0328170985053956</v>
      </c>
    </row>
    <row r="43" customFormat="false" ht="15" hidden="false" customHeight="false" outlineLevel="0" collapsed="false">
      <c r="B43" s="5" t="n">
        <v>0.25</v>
      </c>
      <c r="C43" s="3" t="n">
        <v>38.11</v>
      </c>
      <c r="D43" s="1" t="n">
        <f aca="false">(B43+B44)/2</f>
        <v>0.15</v>
      </c>
      <c r="E43" s="4" t="n">
        <f aca="false">C43/$C$46</f>
        <v>0.219920364706561</v>
      </c>
      <c r="F43" s="4" t="n">
        <f aca="false">D43*E43</f>
        <v>0.0329880547059842</v>
      </c>
    </row>
    <row r="44" customFormat="false" ht="15" hidden="false" customHeight="false" outlineLevel="0" collapsed="false">
      <c r="B44" s="5" t="n">
        <v>0.05</v>
      </c>
      <c r="C44" s="3" t="n">
        <v>42.2</v>
      </c>
      <c r="D44" s="1" t="n">
        <f aca="false">(B44+B45)/2</f>
        <v>0.025</v>
      </c>
      <c r="E44" s="4" t="n">
        <f aca="false">C44/$C$46</f>
        <v>0.243522419066305</v>
      </c>
      <c r="F44" s="4" t="n">
        <f aca="false">D44*E44</f>
        <v>0.00608806047665763</v>
      </c>
    </row>
    <row r="45" customFormat="false" ht="15" hidden="false" customHeight="false" outlineLevel="0" collapsed="false">
      <c r="A45" s="1" t="s">
        <v>9</v>
      </c>
      <c r="B45" s="6" t="n">
        <v>0</v>
      </c>
      <c r="C45" s="3" t="n">
        <v>13.45</v>
      </c>
      <c r="D45" s="1" t="n">
        <f aca="false">(B45+B46)/2</f>
        <v>0</v>
      </c>
      <c r="E45" s="4" t="n">
        <f aca="false">C45/$C$46</f>
        <v>0.0776155577355878</v>
      </c>
      <c r="F45" s="4" t="n">
        <f aca="false">D45*E45</f>
        <v>0</v>
      </c>
    </row>
    <row r="46" customFormat="false" ht="15" hidden="false" customHeight="false" outlineLevel="0" collapsed="false">
      <c r="B46" s="7"/>
      <c r="C46" s="7" t="n">
        <f aca="false">SUM(C38:C45)</f>
        <v>173.29</v>
      </c>
      <c r="D46" s="7"/>
      <c r="E46" s="7"/>
      <c r="F46" s="7" t="n">
        <f aca="false">SUM(F38:F45)</f>
        <v>0.305497287783484</v>
      </c>
    </row>
    <row r="49" customFormat="false" ht="15" hidden="false" customHeight="false" outlineLevel="0" collapsed="false"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</row>
    <row r="50" customFormat="false" ht="15" hidden="false" customHeight="false" outlineLevel="0" collapsed="false">
      <c r="B50" s="2" t="n">
        <v>6.36</v>
      </c>
      <c r="C50" s="3" t="n">
        <v>30</v>
      </c>
      <c r="D50" s="1" t="n">
        <f aca="false">(B50+B51)/2</f>
        <v>5.56</v>
      </c>
      <c r="E50" s="4" t="n">
        <f aca="false">C50/$C$58</f>
        <v>0.0614754098360656</v>
      </c>
      <c r="F50" s="4" t="n">
        <f aca="false">D50*E50</f>
        <v>0.341803278688525</v>
      </c>
    </row>
    <row r="51" customFormat="false" ht="15" hidden="false" customHeight="false" outlineLevel="0" collapsed="false">
      <c r="B51" s="5" t="n">
        <v>4.76</v>
      </c>
      <c r="C51" s="3" t="n">
        <v>81</v>
      </c>
      <c r="D51" s="1" t="n">
        <f aca="false">(B51+B52)/2</f>
        <v>4.06</v>
      </c>
      <c r="E51" s="4" t="n">
        <f aca="false">C51/$C$58</f>
        <v>0.165983606557377</v>
      </c>
      <c r="F51" s="4" t="n">
        <f aca="false">D51*E51</f>
        <v>0.673893442622951</v>
      </c>
    </row>
    <row r="52" customFormat="false" ht="15" hidden="false" customHeight="false" outlineLevel="0" collapsed="false">
      <c r="B52" s="5" t="n">
        <v>3.36</v>
      </c>
      <c r="C52" s="3" t="n">
        <v>85</v>
      </c>
      <c r="D52" s="1" t="n">
        <f aca="false">(B52+B53)/2</f>
        <v>2.68</v>
      </c>
      <c r="E52" s="4" t="n">
        <f aca="false">C52/$C$58</f>
        <v>0.174180327868852</v>
      </c>
      <c r="F52" s="4" t="n">
        <f aca="false">D52*E52</f>
        <v>0.466803278688525</v>
      </c>
    </row>
    <row r="53" customFormat="false" ht="15" hidden="false" customHeight="false" outlineLevel="0" collapsed="false">
      <c r="B53" s="5" t="n">
        <v>2</v>
      </c>
      <c r="C53" s="3" t="n">
        <v>84</v>
      </c>
      <c r="D53" s="1" t="n">
        <f aca="false">(B53+B54)/2</f>
        <v>1.5</v>
      </c>
      <c r="E53" s="4" t="n">
        <f aca="false">C53/$C$58</f>
        <v>0.172131147540984</v>
      </c>
      <c r="F53" s="4" t="n">
        <f aca="false">D53*E53</f>
        <v>0.258196721311475</v>
      </c>
    </row>
    <row r="54" customFormat="false" ht="15" hidden="false" customHeight="false" outlineLevel="0" collapsed="false">
      <c r="B54" s="5" t="n">
        <v>1</v>
      </c>
      <c r="C54" s="3" t="n">
        <v>73</v>
      </c>
      <c r="D54" s="1" t="n">
        <f aca="false">(B54+B55)/2</f>
        <v>0.75</v>
      </c>
      <c r="E54" s="4" t="n">
        <f aca="false">C54/$C$58</f>
        <v>0.149590163934426</v>
      </c>
      <c r="F54" s="4" t="n">
        <f aca="false">D54*E54</f>
        <v>0.11219262295082</v>
      </c>
    </row>
    <row r="55" customFormat="false" ht="15" hidden="false" customHeight="false" outlineLevel="0" collapsed="false">
      <c r="B55" s="5" t="n">
        <v>0.5</v>
      </c>
      <c r="C55" s="3" t="n">
        <v>83</v>
      </c>
      <c r="D55" s="1" t="n">
        <f aca="false">(B55+B56)/2</f>
        <v>0.375</v>
      </c>
      <c r="E55" s="4" t="n">
        <f aca="false">C55/$C$58</f>
        <v>0.170081967213115</v>
      </c>
      <c r="F55" s="4" t="n">
        <f aca="false">D55*E55</f>
        <v>0.063780737704918</v>
      </c>
    </row>
    <row r="56" customFormat="false" ht="15" hidden="false" customHeight="false" outlineLevel="0" collapsed="false">
      <c r="B56" s="5" t="n">
        <v>0.25</v>
      </c>
      <c r="C56" s="3" t="n">
        <v>32</v>
      </c>
      <c r="D56" s="1" t="n">
        <f aca="false">(B56+B57)/2</f>
        <v>0.125</v>
      </c>
      <c r="E56" s="4" t="n">
        <f aca="false">C56/$C$58</f>
        <v>0.0655737704918033</v>
      </c>
      <c r="F56" s="4" t="n">
        <f aca="false">D56*E56</f>
        <v>0.00819672131147541</v>
      </c>
    </row>
    <row r="57" customFormat="false" ht="15" hidden="false" customHeight="false" outlineLevel="0" collapsed="false">
      <c r="A57" s="1" t="s">
        <v>10</v>
      </c>
      <c r="B57" s="6" t="n">
        <v>0</v>
      </c>
      <c r="C57" s="3" t="n">
        <v>20</v>
      </c>
      <c r="D57" s="1" t="n">
        <f aca="false">(B57+B58)/2</f>
        <v>0</v>
      </c>
      <c r="E57" s="4" t="n">
        <f aca="false">C57/$C$58</f>
        <v>0.040983606557377</v>
      </c>
      <c r="F57" s="4" t="n">
        <f aca="false">D57*E57</f>
        <v>0</v>
      </c>
    </row>
    <row r="58" customFormat="false" ht="15" hidden="false" customHeight="false" outlineLevel="0" collapsed="false">
      <c r="B58" s="7"/>
      <c r="C58" s="7" t="n">
        <f aca="false">SUM(C50:C57)</f>
        <v>488</v>
      </c>
      <c r="D58" s="7"/>
      <c r="E58" s="7"/>
      <c r="F58" s="7" t="n">
        <f aca="false">SUM(F50:F57)</f>
        <v>1.92486680327869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6" activeCellId="0" sqref="D16"/>
    </sheetView>
  </sheetViews>
  <sheetFormatPr defaultColWidth="10.3046875" defaultRowHeight="15" customHeight="false" zeroHeight="false" outlineLevelRow="0" outlineLevelCol="0"/>
  <sheetData>
    <row r="2" customFormat="false" ht="15" hidden="false" customHeight="false" outlineLevel="0" collapsed="false">
      <c r="B2" s="1" t="n">
        <v>480</v>
      </c>
    </row>
    <row r="3" customFormat="false" ht="15" hidden="false" customHeight="false" outlineLevel="0" collapsed="false">
      <c r="B3" s="8" t="s">
        <v>11</v>
      </c>
      <c r="C3" s="8" t="s">
        <v>12</v>
      </c>
      <c r="D3" s="9" t="s">
        <v>13</v>
      </c>
      <c r="E3" s="10" t="s">
        <v>14</v>
      </c>
      <c r="F3" s="8" t="s">
        <v>15</v>
      </c>
      <c r="G3" s="11" t="s">
        <v>16</v>
      </c>
    </row>
    <row r="4" customFormat="false" ht="15" hidden="false" customHeight="false" outlineLevel="0" collapsed="false">
      <c r="B4" s="12" t="n">
        <v>4</v>
      </c>
      <c r="C4" s="2" t="n">
        <v>6.36</v>
      </c>
      <c r="D4" s="3" t="n">
        <v>30</v>
      </c>
      <c r="E4" s="13" t="n">
        <f aca="false">(D4/D12)*100</f>
        <v>6.14754098360656</v>
      </c>
      <c r="F4" s="14" t="n">
        <f aca="false">E4</f>
        <v>6.14754098360656</v>
      </c>
      <c r="G4" s="15" t="n">
        <f aca="false">100-F4</f>
        <v>93.8524590163934</v>
      </c>
    </row>
    <row r="5" customFormat="false" ht="15" hidden="false" customHeight="false" outlineLevel="0" collapsed="false">
      <c r="B5" s="16" t="n">
        <v>10</v>
      </c>
      <c r="C5" s="5" t="n">
        <v>4.76</v>
      </c>
      <c r="D5" s="3" t="n">
        <v>81</v>
      </c>
      <c r="E5" s="17" t="n">
        <f aca="false">(D5/D12)*100</f>
        <v>16.5983606557377</v>
      </c>
      <c r="F5" s="18" t="n">
        <f aca="false">F4+E5</f>
        <v>22.7459016393443</v>
      </c>
      <c r="G5" s="19" t="n">
        <f aca="false">100-F5</f>
        <v>77.2540983606558</v>
      </c>
    </row>
    <row r="6" customFormat="false" ht="15" hidden="false" customHeight="false" outlineLevel="0" collapsed="false">
      <c r="B6" s="16" t="n">
        <v>20</v>
      </c>
      <c r="C6" s="5" t="n">
        <v>3.36</v>
      </c>
      <c r="D6" s="3" t="n">
        <v>85</v>
      </c>
      <c r="E6" s="17" t="n">
        <f aca="false">(D6/D12)*100</f>
        <v>17.4180327868852</v>
      </c>
      <c r="F6" s="18" t="n">
        <f aca="false">F5+E6</f>
        <v>40.1639344262295</v>
      </c>
      <c r="G6" s="19" t="n">
        <f aca="false">100-F6</f>
        <v>59.8360655737705</v>
      </c>
    </row>
    <row r="7" customFormat="false" ht="15" hidden="false" customHeight="false" outlineLevel="0" collapsed="false">
      <c r="B7" s="16" t="n">
        <v>40</v>
      </c>
      <c r="C7" s="5" t="n">
        <v>2</v>
      </c>
      <c r="D7" s="3" t="n">
        <v>84</v>
      </c>
      <c r="E7" s="17" t="n">
        <f aca="false">(D7/D12)*100</f>
        <v>17.2131147540984</v>
      </c>
      <c r="F7" s="18" t="n">
        <f aca="false">F6+E7</f>
        <v>57.3770491803279</v>
      </c>
      <c r="G7" s="19" t="n">
        <f aca="false">100-F7</f>
        <v>42.6229508196721</v>
      </c>
    </row>
    <row r="8" customFormat="false" ht="15" hidden="false" customHeight="false" outlineLevel="0" collapsed="false">
      <c r="B8" s="16" t="n">
        <v>60</v>
      </c>
      <c r="C8" s="5" t="n">
        <v>1</v>
      </c>
      <c r="D8" s="3" t="n">
        <v>73</v>
      </c>
      <c r="E8" s="17" t="n">
        <f aca="false">(D8/D12)*100</f>
        <v>14.9590163934426</v>
      </c>
      <c r="F8" s="18" t="n">
        <f aca="false">F7+E8</f>
        <v>72.3360655737705</v>
      </c>
      <c r="G8" s="19" t="n">
        <f aca="false">100-F8</f>
        <v>27.6639344262295</v>
      </c>
      <c r="I8" s="1" t="n">
        <v>480</v>
      </c>
    </row>
    <row r="9" customFormat="false" ht="15" hidden="false" customHeight="false" outlineLevel="0" collapsed="false">
      <c r="B9" s="16" t="n">
        <v>80</v>
      </c>
      <c r="C9" s="5" t="n">
        <v>0.5</v>
      </c>
      <c r="D9" s="3" t="n">
        <v>83</v>
      </c>
      <c r="E9" s="17" t="n">
        <f aca="false">(D9/D12)*100</f>
        <v>17.0081967213115</v>
      </c>
      <c r="F9" s="18" t="n">
        <f aca="false">F8+E9</f>
        <v>89.344262295082</v>
      </c>
      <c r="G9" s="19" t="n">
        <f aca="false">100-F9</f>
        <v>10.655737704918</v>
      </c>
      <c r="I9" s="8" t="s">
        <v>11</v>
      </c>
      <c r="J9" s="8" t="s">
        <v>12</v>
      </c>
      <c r="K9" s="9" t="s">
        <v>13</v>
      </c>
      <c r="L9" s="10" t="s">
        <v>14</v>
      </c>
      <c r="M9" s="8" t="s">
        <v>15</v>
      </c>
      <c r="N9" s="11" t="s">
        <v>16</v>
      </c>
    </row>
    <row r="10" customFormat="false" ht="15" hidden="false" customHeight="false" outlineLevel="0" collapsed="false">
      <c r="B10" s="16" t="n">
        <v>100</v>
      </c>
      <c r="C10" s="5" t="n">
        <v>0.25</v>
      </c>
      <c r="D10" s="3" t="n">
        <v>32</v>
      </c>
      <c r="E10" s="17" t="n">
        <f aca="false">(D10/D12)*100</f>
        <v>6.55737704918033</v>
      </c>
      <c r="F10" s="18" t="n">
        <f aca="false">F9+E10</f>
        <v>95.9016393442623</v>
      </c>
      <c r="G10" s="19" t="n">
        <f aca="false">100-F10</f>
        <v>4.09836065573771</v>
      </c>
      <c r="I10" s="12" t="n">
        <v>4</v>
      </c>
      <c r="J10" s="2" t="n">
        <v>6.36</v>
      </c>
      <c r="K10" s="3" t="n">
        <v>26</v>
      </c>
      <c r="L10" s="13" t="n">
        <f aca="false">(K10/K18)*100</f>
        <v>5.56745182012848</v>
      </c>
      <c r="M10" s="14" t="n">
        <f aca="false">L10</f>
        <v>5.56745182012848</v>
      </c>
      <c r="N10" s="15" t="n">
        <f aca="false">100-M10</f>
        <v>94.4325481798715</v>
      </c>
    </row>
    <row r="11" customFormat="false" ht="15" hidden="false" customHeight="false" outlineLevel="0" collapsed="false">
      <c r="B11" s="20" t="s">
        <v>17</v>
      </c>
      <c r="C11" s="21"/>
      <c r="D11" s="3" t="n">
        <v>20</v>
      </c>
      <c r="E11" s="17" t="n">
        <f aca="false">(D11/D12)*100</f>
        <v>4.09836065573771</v>
      </c>
      <c r="F11" s="18"/>
      <c r="G11" s="19" t="n">
        <f aca="false">100-F11</f>
        <v>100</v>
      </c>
      <c r="I11" s="16" t="n">
        <v>10</v>
      </c>
      <c r="J11" s="5" t="n">
        <v>4.76</v>
      </c>
      <c r="K11" s="3" t="n">
        <v>87</v>
      </c>
      <c r="L11" s="17" t="n">
        <f aca="false">(K11/K18)*100</f>
        <v>18.6295503211991</v>
      </c>
      <c r="M11" s="18" t="n">
        <f aca="false">M10+L11</f>
        <v>24.1970021413276</v>
      </c>
      <c r="N11" s="19" t="n">
        <f aca="false">100-M11</f>
        <v>75.8029978586724</v>
      </c>
    </row>
    <row r="12" customFormat="false" ht="15" hidden="false" customHeight="false" outlineLevel="0" collapsed="false">
      <c r="B12" s="22" t="s">
        <v>18</v>
      </c>
      <c r="C12" s="23"/>
      <c r="D12" s="24" t="n">
        <f aca="false">SUM(D4:D11)</f>
        <v>488</v>
      </c>
      <c r="E12" s="25" t="n">
        <f aca="false">SUM(E4:E11)</f>
        <v>100</v>
      </c>
      <c r="F12" s="25"/>
      <c r="G12" s="26"/>
      <c r="I12" s="16" t="n">
        <v>20</v>
      </c>
      <c r="J12" s="5" t="n">
        <v>3.36</v>
      </c>
      <c r="K12" s="3" t="n">
        <v>70</v>
      </c>
      <c r="L12" s="17" t="n">
        <f aca="false">(K12/K18)*100</f>
        <v>14.9892933618844</v>
      </c>
      <c r="M12" s="18" t="n">
        <f aca="false">M11+L12</f>
        <v>39.186295503212</v>
      </c>
      <c r="N12" s="19" t="n">
        <f aca="false">100-M12</f>
        <v>60.813704496788</v>
      </c>
    </row>
    <row r="13" customFormat="false" ht="15" hidden="false" customHeight="false" outlineLevel="0" collapsed="false">
      <c r="I13" s="16" t="n">
        <v>40</v>
      </c>
      <c r="J13" s="5" t="n">
        <v>2</v>
      </c>
      <c r="K13" s="3" t="n">
        <v>79</v>
      </c>
      <c r="L13" s="17" t="n">
        <f aca="false">(K13/K18)*100</f>
        <v>16.9164882226981</v>
      </c>
      <c r="M13" s="18" t="n">
        <f aca="false">M12+L13</f>
        <v>56.1027837259101</v>
      </c>
      <c r="N13" s="19" t="n">
        <f aca="false">100-M13</f>
        <v>43.8972162740899</v>
      </c>
    </row>
    <row r="14" customFormat="false" ht="15" hidden="false" customHeight="false" outlineLevel="0" collapsed="false">
      <c r="B14" s="1" t="n">
        <v>480</v>
      </c>
      <c r="I14" s="16" t="n">
        <v>60</v>
      </c>
      <c r="J14" s="5" t="n">
        <v>1</v>
      </c>
      <c r="K14" s="3" t="n">
        <v>70</v>
      </c>
      <c r="L14" s="17" t="n">
        <f aca="false">(K14/K18)*100</f>
        <v>14.9892933618844</v>
      </c>
      <c r="M14" s="18" t="n">
        <f aca="false">M13+L14</f>
        <v>71.0920770877944</v>
      </c>
      <c r="N14" s="19" t="n">
        <f aca="false">100-M14</f>
        <v>28.9079229122056</v>
      </c>
    </row>
    <row r="15" customFormat="false" ht="15" hidden="false" customHeight="false" outlineLevel="0" collapsed="false">
      <c r="B15" s="8" t="s">
        <v>11</v>
      </c>
      <c r="C15" s="8" t="s">
        <v>12</v>
      </c>
      <c r="D15" s="9" t="s">
        <v>13</v>
      </c>
      <c r="E15" s="10" t="s">
        <v>14</v>
      </c>
      <c r="F15" s="8" t="s">
        <v>15</v>
      </c>
      <c r="G15" s="11" t="s">
        <v>16</v>
      </c>
      <c r="I15" s="16" t="n">
        <v>80</v>
      </c>
      <c r="J15" s="5" t="n">
        <v>0.5</v>
      </c>
      <c r="K15" s="3" t="n">
        <v>86</v>
      </c>
      <c r="L15" s="17" t="n">
        <f aca="false">(K15/K18)*100</f>
        <v>18.4154175588865</v>
      </c>
      <c r="M15" s="18" t="n">
        <f aca="false">M14+L15</f>
        <v>89.507494646681</v>
      </c>
      <c r="N15" s="19" t="n">
        <f aca="false">100-M15</f>
        <v>10.492505353319</v>
      </c>
    </row>
    <row r="16" customFormat="false" ht="15" hidden="false" customHeight="false" outlineLevel="0" collapsed="false">
      <c r="B16" s="12" t="n">
        <v>4</v>
      </c>
      <c r="C16" s="2" t="n">
        <v>6.36</v>
      </c>
      <c r="D16" s="3" t="n">
        <v>4</v>
      </c>
      <c r="E16" s="13" t="n">
        <f aca="false">(D16/D24)*100</f>
        <v>0.829875518672199</v>
      </c>
      <c r="F16" s="14" t="n">
        <f aca="false">E16</f>
        <v>0.829875518672199</v>
      </c>
      <c r="G16" s="15" t="n">
        <f aca="false">100-F16</f>
        <v>99.1701244813278</v>
      </c>
      <c r="I16" s="16" t="n">
        <v>100</v>
      </c>
      <c r="J16" s="5" t="n">
        <v>0.25</v>
      </c>
      <c r="K16" s="3" t="n">
        <v>42</v>
      </c>
      <c r="L16" s="17" t="n">
        <f aca="false">(K16/K18)*100</f>
        <v>8.99357601713062</v>
      </c>
      <c r="M16" s="18" t="n">
        <f aca="false">M15+L16</f>
        <v>98.5010706638116</v>
      </c>
      <c r="N16" s="19" t="n">
        <f aca="false">100-M16</f>
        <v>1.49892933618843</v>
      </c>
    </row>
    <row r="17" customFormat="false" ht="15" hidden="false" customHeight="false" outlineLevel="0" collapsed="false">
      <c r="B17" s="16" t="n">
        <v>10</v>
      </c>
      <c r="C17" s="5" t="n">
        <v>4.76</v>
      </c>
      <c r="D17" s="3" t="n">
        <v>54</v>
      </c>
      <c r="E17" s="17" t="n">
        <f aca="false">(D17/D24)*100</f>
        <v>11.2033195020747</v>
      </c>
      <c r="F17" s="18" t="n">
        <f aca="false">F16+E17</f>
        <v>12.0331950207469</v>
      </c>
      <c r="G17" s="19" t="n">
        <f aca="false">100-F17</f>
        <v>87.9668049792531</v>
      </c>
      <c r="I17" s="20" t="s">
        <v>17</v>
      </c>
      <c r="J17" s="21"/>
      <c r="K17" s="3" t="n">
        <v>7</v>
      </c>
      <c r="L17" s="17" t="n">
        <f aca="false">(K17/K18)*100</f>
        <v>1.49892933618844</v>
      </c>
      <c r="M17" s="18"/>
      <c r="N17" s="19" t="n">
        <f aca="false">100-M17</f>
        <v>100</v>
      </c>
    </row>
    <row r="18" customFormat="false" ht="15" hidden="false" customHeight="false" outlineLevel="0" collapsed="false">
      <c r="B18" s="16" t="n">
        <v>20</v>
      </c>
      <c r="C18" s="5" t="n">
        <v>3.36</v>
      </c>
      <c r="D18" s="3" t="n">
        <v>59</v>
      </c>
      <c r="E18" s="17" t="n">
        <f aca="false">(D18/D24)*100</f>
        <v>12.2406639004149</v>
      </c>
      <c r="F18" s="18" t="n">
        <f aca="false">F17+E18</f>
        <v>24.2738589211618</v>
      </c>
      <c r="G18" s="19" t="n">
        <f aca="false">100-F18</f>
        <v>75.7261410788382</v>
      </c>
      <c r="I18" s="22" t="s">
        <v>18</v>
      </c>
      <c r="J18" s="23"/>
      <c r="K18" s="24" t="n">
        <f aca="false">SUM(K10:K17)</f>
        <v>467</v>
      </c>
      <c r="L18" s="25" t="n">
        <f aca="false">SUM(L10:L17)</f>
        <v>100</v>
      </c>
      <c r="M18" s="25"/>
      <c r="N18" s="26"/>
    </row>
    <row r="19" customFormat="false" ht="15" hidden="false" customHeight="false" outlineLevel="0" collapsed="false">
      <c r="B19" s="16" t="n">
        <v>40</v>
      </c>
      <c r="C19" s="5" t="n">
        <v>2</v>
      </c>
      <c r="D19" s="3" t="n">
        <v>75</v>
      </c>
      <c r="E19" s="17" t="n">
        <f aca="false">(D19/D24)*100</f>
        <v>15.5601659751037</v>
      </c>
      <c r="F19" s="18" t="n">
        <f aca="false">F18+E19</f>
        <v>39.8340248962656</v>
      </c>
      <c r="G19" s="19" t="n">
        <f aca="false">100-F19</f>
        <v>60.1659751037344</v>
      </c>
    </row>
    <row r="20" customFormat="false" ht="15" hidden="false" customHeight="false" outlineLevel="0" collapsed="false">
      <c r="B20" s="16" t="n">
        <v>60</v>
      </c>
      <c r="C20" s="5" t="n">
        <v>1</v>
      </c>
      <c r="D20" s="3" t="n">
        <v>75</v>
      </c>
      <c r="E20" s="17" t="n">
        <f aca="false">(D20/D24)*100</f>
        <v>15.5601659751037</v>
      </c>
      <c r="F20" s="18" t="n">
        <f aca="false">F19+E20</f>
        <v>55.3941908713693</v>
      </c>
      <c r="G20" s="19" t="n">
        <f aca="false">100-F20</f>
        <v>44.6058091286307</v>
      </c>
    </row>
    <row r="21" customFormat="false" ht="15" hidden="false" customHeight="false" outlineLevel="0" collapsed="false">
      <c r="B21" s="16" t="n">
        <v>80</v>
      </c>
      <c r="C21" s="5" t="n">
        <v>0.5</v>
      </c>
      <c r="D21" s="3" t="n">
        <v>113</v>
      </c>
      <c r="E21" s="17" t="n">
        <f aca="false">(D21/D24)*100</f>
        <v>23.4439834024896</v>
      </c>
      <c r="F21" s="18" t="n">
        <f aca="false">F20+E21</f>
        <v>78.8381742738589</v>
      </c>
      <c r="G21" s="19" t="n">
        <f aca="false">100-F21</f>
        <v>21.1618257261411</v>
      </c>
    </row>
    <row r="22" customFormat="false" ht="15" hidden="false" customHeight="false" outlineLevel="0" collapsed="false">
      <c r="B22" s="16" t="n">
        <v>100</v>
      </c>
      <c r="C22" s="5" t="n">
        <v>0.25</v>
      </c>
      <c r="D22" s="3" t="n">
        <v>62</v>
      </c>
      <c r="E22" s="17" t="n">
        <f aca="false">(D22/D24)*100</f>
        <v>12.8630705394191</v>
      </c>
      <c r="F22" s="18" t="n">
        <f aca="false">F21+E22</f>
        <v>91.701244813278</v>
      </c>
      <c r="G22" s="19" t="n">
        <f aca="false">100-F22</f>
        <v>8.29875518672199</v>
      </c>
    </row>
    <row r="23" customFormat="false" ht="15" hidden="false" customHeight="false" outlineLevel="0" collapsed="false">
      <c r="B23" s="20" t="s">
        <v>17</v>
      </c>
      <c r="C23" s="21"/>
      <c r="D23" s="3" t="n">
        <v>40</v>
      </c>
      <c r="E23" s="17" t="n">
        <f aca="false">(D23/D24)*100</f>
        <v>8.29875518672199</v>
      </c>
      <c r="F23" s="18"/>
      <c r="G23" s="19" t="n">
        <f aca="false">100-F23</f>
        <v>100</v>
      </c>
    </row>
    <row r="24" customFormat="false" ht="15" hidden="false" customHeight="false" outlineLevel="0" collapsed="false">
      <c r="B24" s="22" t="s">
        <v>18</v>
      </c>
      <c r="C24" s="23"/>
      <c r="D24" s="24" t="n">
        <f aca="false">SUM(D16:D23)</f>
        <v>482</v>
      </c>
      <c r="E24" s="25" t="n">
        <f aca="false">SUM(E16:E23)</f>
        <v>100</v>
      </c>
      <c r="F24" s="25"/>
      <c r="G24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2025-07-16T19:37:52Z</dcterms:created>
  <dc:creator>Moisés Márquez Velázquez</dc:creator>
  <dc:description/>
  <dc:language>en-US</dc:language>
  <cp:lastModifiedBy/>
  <dcterms:modified xsi:type="dcterms:W3CDTF">2026-08-04T22:37:12Z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