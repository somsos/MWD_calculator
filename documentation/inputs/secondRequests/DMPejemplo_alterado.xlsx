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\Documents\Softwares\"/>
    </mc:Choice>
  </mc:AlternateContent>
  <xr:revisionPtr revIDLastSave="0" documentId="13_ncr:1_{39FA0EA6-85E5-4A97-9668-205E1805AAC3}" xr6:coauthVersionLast="47" xr6:coauthVersionMax="47" xr10:uidLastSave="{00000000-0000-0000-0000-000000000000}"/>
  <bookViews>
    <workbookView xWindow="810" yWindow="-120" windowWidth="24510" windowHeight="15990" xr2:uid="{DCFFF1E7-83B6-4D3A-A4C1-7FC6CAE5E8D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F4" i="1"/>
  <c r="E4" i="1"/>
  <c r="I59" i="1"/>
  <c r="I23" i="1"/>
  <c r="C70" i="1"/>
  <c r="E69" i="1"/>
  <c r="F69" i="1" s="1"/>
  <c r="D69" i="1"/>
  <c r="E68" i="1"/>
  <c r="D68" i="1"/>
  <c r="E67" i="1"/>
  <c r="F67" i="1" s="1"/>
  <c r="D67" i="1"/>
  <c r="E66" i="1"/>
  <c r="F66" i="1" s="1"/>
  <c r="D66" i="1"/>
  <c r="E65" i="1"/>
  <c r="D65" i="1"/>
  <c r="E64" i="1"/>
  <c r="F64" i="1" s="1"/>
  <c r="D64" i="1"/>
  <c r="E63" i="1"/>
  <c r="D63" i="1"/>
  <c r="E62" i="1"/>
  <c r="D62" i="1"/>
  <c r="C59" i="1"/>
  <c r="E58" i="1"/>
  <c r="D58" i="1"/>
  <c r="F58" i="1" s="1"/>
  <c r="E57" i="1"/>
  <c r="D57" i="1"/>
  <c r="E56" i="1"/>
  <c r="F56" i="1" s="1"/>
  <c r="D56" i="1"/>
  <c r="E55" i="1"/>
  <c r="D55" i="1"/>
  <c r="E54" i="1"/>
  <c r="F54" i="1" s="1"/>
  <c r="D54" i="1"/>
  <c r="E53" i="1"/>
  <c r="F53" i="1" s="1"/>
  <c r="D53" i="1"/>
  <c r="E52" i="1"/>
  <c r="D52" i="1"/>
  <c r="F52" i="1" s="1"/>
  <c r="E51" i="1"/>
  <c r="F51" i="1" s="1"/>
  <c r="D51" i="1"/>
  <c r="E47" i="1"/>
  <c r="D47" i="1"/>
  <c r="F47" i="1" s="1"/>
  <c r="E46" i="1"/>
  <c r="F46" i="1" s="1"/>
  <c r="D46" i="1"/>
  <c r="E45" i="1"/>
  <c r="D45" i="1"/>
  <c r="F45" i="1" s="1"/>
  <c r="E44" i="1"/>
  <c r="D44" i="1"/>
  <c r="F44" i="1" s="1"/>
  <c r="E43" i="1"/>
  <c r="F43" i="1" s="1"/>
  <c r="D43" i="1"/>
  <c r="E42" i="1"/>
  <c r="D42" i="1"/>
  <c r="E41" i="1"/>
  <c r="F41" i="1" s="1"/>
  <c r="D41" i="1"/>
  <c r="E40" i="1"/>
  <c r="D40" i="1"/>
  <c r="F40" i="1" s="1"/>
  <c r="H23" i="1"/>
  <c r="C12" i="1"/>
  <c r="C23" i="1"/>
  <c r="E15" i="1" s="1"/>
  <c r="D33" i="1"/>
  <c r="D32" i="1"/>
  <c r="D31" i="1"/>
  <c r="D30" i="1"/>
  <c r="D29" i="1"/>
  <c r="D28" i="1"/>
  <c r="D27" i="1"/>
  <c r="D26" i="1"/>
  <c r="D22" i="1"/>
  <c r="D21" i="1"/>
  <c r="D20" i="1"/>
  <c r="D19" i="1"/>
  <c r="D18" i="1"/>
  <c r="D17" i="1"/>
  <c r="D16" i="1"/>
  <c r="D15" i="1"/>
  <c r="F15" i="1" s="1"/>
  <c r="D4" i="1"/>
  <c r="E5" i="1"/>
  <c r="E6" i="1"/>
  <c r="E7" i="1"/>
  <c r="E8" i="1"/>
  <c r="E9" i="1"/>
  <c r="E10" i="1"/>
  <c r="E4" i="2"/>
  <c r="D10" i="1"/>
  <c r="F10" i="1" s="1"/>
  <c r="D5" i="1"/>
  <c r="D6" i="1"/>
  <c r="D7" i="1"/>
  <c r="F7" i="1" s="1"/>
  <c r="D8" i="1"/>
  <c r="D9" i="1"/>
  <c r="C34" i="1"/>
  <c r="E27" i="1" s="1"/>
  <c r="E5" i="2"/>
  <c r="D24" i="2"/>
  <c r="E19" i="2" s="1"/>
  <c r="G23" i="2"/>
  <c r="K18" i="2"/>
  <c r="L15" i="2" s="1"/>
  <c r="N17" i="2"/>
  <c r="D12" i="2"/>
  <c r="E11" i="2" s="1"/>
  <c r="G11" i="2"/>
  <c r="E10" i="2"/>
  <c r="E8" i="2"/>
  <c r="E7" i="2"/>
  <c r="F65" i="1" l="1"/>
  <c r="F70" i="1" s="1"/>
  <c r="F68" i="1"/>
  <c r="F62" i="1"/>
  <c r="F63" i="1"/>
  <c r="F55" i="1"/>
  <c r="F57" i="1"/>
  <c r="F42" i="1"/>
  <c r="F48" i="1" s="1"/>
  <c r="E22" i="1"/>
  <c r="F22" i="1" s="1"/>
  <c r="F5" i="1"/>
  <c r="E21" i="1"/>
  <c r="F21" i="1" s="1"/>
  <c r="F27" i="1"/>
  <c r="F31" i="1"/>
  <c r="E20" i="1"/>
  <c r="F20" i="1" s="1"/>
  <c r="E32" i="1"/>
  <c r="F32" i="1" s="1"/>
  <c r="E26" i="1"/>
  <c r="F26" i="1" s="1"/>
  <c r="E33" i="1"/>
  <c r="F33" i="1" s="1"/>
  <c r="E19" i="1"/>
  <c r="F19" i="1" s="1"/>
  <c r="E31" i="1"/>
  <c r="F9" i="1"/>
  <c r="E18" i="1"/>
  <c r="F18" i="1" s="1"/>
  <c r="E30" i="1"/>
  <c r="F30" i="1" s="1"/>
  <c r="F8" i="1"/>
  <c r="E17" i="1"/>
  <c r="F17" i="1" s="1"/>
  <c r="E29" i="1"/>
  <c r="F29" i="1" s="1"/>
  <c r="E16" i="1"/>
  <c r="F16" i="1" s="1"/>
  <c r="E28" i="1"/>
  <c r="F28" i="1" s="1"/>
  <c r="F6" i="1"/>
  <c r="F12" i="1" s="1"/>
  <c r="E17" i="2"/>
  <c r="E21" i="2"/>
  <c r="L11" i="2"/>
  <c r="E16" i="2"/>
  <c r="L17" i="2"/>
  <c r="E22" i="2"/>
  <c r="L16" i="2"/>
  <c r="E18" i="2"/>
  <c r="E20" i="2"/>
  <c r="E9" i="2"/>
  <c r="L12" i="2"/>
  <c r="E23" i="2"/>
  <c r="L13" i="2"/>
  <c r="L10" i="2"/>
  <c r="L14" i="2"/>
  <c r="E6" i="2"/>
  <c r="F59" i="1" l="1"/>
  <c r="H59" i="1"/>
  <c r="F23" i="1"/>
  <c r="F34" i="1"/>
  <c r="F16" i="2"/>
  <c r="E24" i="2"/>
  <c r="M10" i="2"/>
  <c r="L18" i="2"/>
  <c r="F4" i="2"/>
  <c r="E12" i="2"/>
  <c r="F5" i="2" l="1"/>
  <c r="G4" i="2"/>
  <c r="M11" i="2"/>
  <c r="N10" i="2"/>
  <c r="G16" i="2"/>
  <c r="F17" i="2"/>
  <c r="F18" i="2" l="1"/>
  <c r="G17" i="2"/>
  <c r="M12" i="2"/>
  <c r="N11" i="2"/>
  <c r="F6" i="2"/>
  <c r="G5" i="2"/>
  <c r="G6" i="2" l="1"/>
  <c r="F7" i="2"/>
  <c r="M13" i="2"/>
  <c r="N12" i="2"/>
  <c r="G18" i="2"/>
  <c r="F19" i="2"/>
  <c r="F8" i="2" l="1"/>
  <c r="G7" i="2"/>
  <c r="G19" i="2"/>
  <c r="F20" i="2"/>
  <c r="M14" i="2"/>
  <c r="N13" i="2"/>
  <c r="M15" i="2" l="1"/>
  <c r="N14" i="2"/>
  <c r="G20" i="2"/>
  <c r="F21" i="2"/>
  <c r="F9" i="2"/>
  <c r="G8" i="2"/>
  <c r="F10" i="2" l="1"/>
  <c r="G10" i="2" s="1"/>
  <c r="G9" i="2"/>
  <c r="F22" i="2"/>
  <c r="G22" i="2" s="1"/>
  <c r="G21" i="2"/>
  <c r="N15" i="2"/>
  <c r="M16" i="2"/>
  <c r="N16" i="2" s="1"/>
</calcChain>
</file>

<file path=xl/sharedStrings.xml><?xml version="1.0" encoding="utf-8"?>
<sst xmlns="http://schemas.openxmlformats.org/spreadsheetml/2006/main" count="66" uniqueCount="18">
  <si>
    <t>Diametro Tamiz</t>
  </si>
  <si>
    <t>Peso suelo</t>
  </si>
  <si>
    <t>Diametro prom</t>
  </si>
  <si>
    <t>Porcion Suelo</t>
  </si>
  <si>
    <t>MWD</t>
  </si>
  <si>
    <t>FAC MALLA mm</t>
  </si>
  <si>
    <t>PESO PARCIAL</t>
  </si>
  <si>
    <t>% RETENIDO</t>
  </si>
  <si>
    <t>% RETENIDO ACUMULADO</t>
  </si>
  <si>
    <t xml:space="preserve">% PASANTE ACUMULADO </t>
  </si>
  <si>
    <t>N TAMIZ"</t>
  </si>
  <si>
    <t>FONDO</t>
  </si>
  <si>
    <t>TOTAL</t>
  </si>
  <si>
    <t>Fondo</t>
  </si>
  <si>
    <t>Datos Huerta</t>
  </si>
  <si>
    <t>Promedio</t>
  </si>
  <si>
    <t>Suelo Salino</t>
  </si>
  <si>
    <t>Desv Estandar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</si>
</sst>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nsolas"/>
      <family val="3"/>
    </font>
    <font>
      <sz val="12"/>
      <name val="Consolas"/>
      <family val="3"/>
    </font>
    <font>
      <b/>
      <sz val="12"/>
      <name val="Arial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6" fillId="8" borderId="0" applyNumberFormat="0" applyBorder="0" applyAlignment="0" applyProtection="0"/>
  </cellStyleXfs>
  <cellXfs count="34">
    <xf numFmtId="0" fontId="0" fillId="0" borderId="0" xfId="0"/>
    <xf numFmtId="0" fontId="2" fillId="3" borderId="1" xfId="2" applyBorder="1" applyAlignment="1">
      <alignment horizontal="left"/>
    </xf>
    <xf numFmtId="0" fontId="2" fillId="3" borderId="2" xfId="2" applyBorder="1" applyAlignment="1">
      <alignment horizontal="left"/>
    </xf>
    <xf numFmtId="0" fontId="2" fillId="4" borderId="1" xfId="3" applyBorder="1" applyAlignment="1">
      <alignment horizontal="left"/>
    </xf>
    <xf numFmtId="0" fontId="2" fillId="3" borderId="3" xfId="2" applyBorder="1" applyAlignment="1">
      <alignment horizontal="left"/>
    </xf>
    <xf numFmtId="0" fontId="3" fillId="0" borderId="4" xfId="0" applyFont="1" applyBorder="1"/>
    <xf numFmtId="0" fontId="0" fillId="0" borderId="5" xfId="0" applyBorder="1"/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3" fillId="0" borderId="9" xfId="0" applyFont="1" applyBorder="1"/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49" fontId="5" fillId="0" borderId="14" xfId="0" applyNumberFormat="1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" fontId="1" fillId="2" borderId="17" xfId="1" applyNumberFormat="1" applyBorder="1"/>
    <xf numFmtId="164" fontId="4" fillId="0" borderId="16" xfId="0" applyNumberFormat="1" applyFont="1" applyBorder="1" applyAlignment="1">
      <alignment horizontal="center"/>
    </xf>
    <xf numFmtId="164" fontId="4" fillId="0" borderId="18" xfId="0" applyNumberFormat="1" applyFont="1" applyBorder="1" applyAlignment="1">
      <alignment horizontal="center"/>
    </xf>
    <xf numFmtId="0" fontId="3" fillId="0" borderId="19" xfId="0" applyFont="1" applyBorder="1"/>
    <xf numFmtId="2" fontId="0" fillId="0" borderId="0" xfId="0" applyNumberFormat="1"/>
    <xf numFmtId="165" fontId="0" fillId="0" borderId="5" xfId="0" applyNumberFormat="1" applyBorder="1"/>
    <xf numFmtId="0" fontId="0" fillId="5" borderId="0" xfId="0" applyFill="1"/>
    <xf numFmtId="0" fontId="0" fillId="6" borderId="0" xfId="0" applyFill="1"/>
    <xf numFmtId="2" fontId="0" fillId="6" borderId="0" xfId="0" applyNumberFormat="1" applyFill="1"/>
    <xf numFmtId="0" fontId="0" fillId="7" borderId="0" xfId="0" applyFill="1"/>
    <xf numFmtId="1" fontId="1" fillId="7" borderId="17" xfId="1" applyNumberFormat="1" applyFill="1" applyBorder="1"/>
    <xf numFmtId="2" fontId="0" fillId="7" borderId="0" xfId="0" applyNumberFormat="1" applyFill="1"/>
    <xf numFmtId="1" fontId="6" fillId="8" borderId="7" xfId="4" applyNumberFormat="1" applyBorder="1"/>
    <xf numFmtId="1" fontId="1" fillId="2" borderId="16" xfId="1" applyNumberFormat="1" applyBorder="1"/>
  </cellXfs>
  <cellStyles count="5">
    <cellStyle name="Bueno" xfId="1" builtinId="26"/>
    <cellStyle name="Énfasis5" xfId="2" builtinId="45"/>
    <cellStyle name="Énfasis6" xfId="3" builtinId="49"/>
    <cellStyle name="Incorrecto" xfId="4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40CA-7EFA-401A-8BB3-A40333186745}">
  <dimension ref="A1:I70"/>
  <sheetViews>
    <sheetView tabSelected="1" workbookViewId="0">
      <selection activeCell="H12" sqref="H12"/>
    </sheetView>
  </sheetViews>
  <sheetFormatPr baseColWidth="10" defaultRowHeight="15" x14ac:dyDescent="0.25"/>
  <cols>
    <col min="2" max="2" width="14.85546875" bestFit="1" customWidth="1"/>
    <col min="4" max="4" width="14.28515625" bestFit="1" customWidth="1"/>
    <col min="5" max="5" width="13.140625" bestFit="1" customWidth="1"/>
  </cols>
  <sheetData>
    <row r="1" spans="1:6" x14ac:dyDescent="0.25">
      <c r="B1" t="s">
        <v>14</v>
      </c>
    </row>
    <row r="3" spans="1:6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1:6" x14ac:dyDescent="0.25">
      <c r="B4" s="5">
        <v>6.36</v>
      </c>
      <c r="C4" s="6">
        <v>30</v>
      </c>
      <c r="D4">
        <f t="shared" ref="D4:D11" si="0">(B4+B5)/2</f>
        <v>5.5600000000000005</v>
      </c>
      <c r="E4" s="24">
        <f>C4/$C$12</f>
        <v>6.1475409836065573E-2</v>
      </c>
      <c r="F4" s="24">
        <f>D4*E4</f>
        <v>0.34180327868852461</v>
      </c>
    </row>
    <row r="5" spans="1:6" x14ac:dyDescent="0.25">
      <c r="B5" s="10">
        <v>4.76</v>
      </c>
      <c r="C5" s="6">
        <v>81</v>
      </c>
      <c r="D5">
        <f t="shared" si="0"/>
        <v>4.0599999999999996</v>
      </c>
      <c r="E5" s="24">
        <f t="shared" ref="E5:E11" si="1">C5/$C$12</f>
        <v>0.16598360655737704</v>
      </c>
      <c r="F5" s="24">
        <f t="shared" ref="F5:F11" si="2">D5*E5</f>
        <v>0.6738934426229507</v>
      </c>
    </row>
    <row r="6" spans="1:6" x14ac:dyDescent="0.25">
      <c r="B6" s="10">
        <v>3.36</v>
      </c>
      <c r="C6" s="6">
        <v>85</v>
      </c>
      <c r="D6">
        <f t="shared" si="0"/>
        <v>2.6799999999999997</v>
      </c>
      <c r="E6" s="24">
        <f t="shared" si="1"/>
        <v>0.17418032786885246</v>
      </c>
      <c r="F6" s="24">
        <f t="shared" si="2"/>
        <v>0.46680327868852456</v>
      </c>
    </row>
    <row r="7" spans="1:6" x14ac:dyDescent="0.25">
      <c r="B7" s="10">
        <v>2</v>
      </c>
      <c r="C7" s="6">
        <v>84</v>
      </c>
      <c r="D7">
        <f t="shared" si="0"/>
        <v>1.5</v>
      </c>
      <c r="E7" s="24">
        <f t="shared" si="1"/>
        <v>0.1721311475409836</v>
      </c>
      <c r="F7" s="24">
        <f t="shared" si="2"/>
        <v>0.25819672131147542</v>
      </c>
    </row>
    <row r="8" spans="1:6" x14ac:dyDescent="0.25">
      <c r="B8" s="10">
        <v>1</v>
      </c>
      <c r="C8" s="6">
        <v>73</v>
      </c>
      <c r="D8">
        <f t="shared" si="0"/>
        <v>0.75</v>
      </c>
      <c r="E8" s="24">
        <f t="shared" si="1"/>
        <v>0.14959016393442623</v>
      </c>
      <c r="F8" s="24">
        <f t="shared" si="2"/>
        <v>0.11219262295081966</v>
      </c>
    </row>
    <row r="9" spans="1:6" x14ac:dyDescent="0.25">
      <c r="B9" s="10">
        <v>0.5</v>
      </c>
      <c r="C9" s="6">
        <v>83</v>
      </c>
      <c r="D9">
        <f t="shared" si="0"/>
        <v>0.375</v>
      </c>
      <c r="E9" s="24">
        <f t="shared" si="1"/>
        <v>0.17008196721311475</v>
      </c>
      <c r="F9" s="24">
        <f t="shared" si="2"/>
        <v>6.3780737704918031E-2</v>
      </c>
    </row>
    <row r="10" spans="1:6" x14ac:dyDescent="0.25">
      <c r="B10" s="10">
        <v>0.25</v>
      </c>
      <c r="C10" s="6">
        <v>32</v>
      </c>
      <c r="D10">
        <f t="shared" si="0"/>
        <v>0.125</v>
      </c>
      <c r="E10" s="24">
        <f t="shared" si="1"/>
        <v>6.5573770491803282E-2</v>
      </c>
      <c r="F10" s="24">
        <f t="shared" si="2"/>
        <v>8.1967213114754103E-3</v>
      </c>
    </row>
    <row r="11" spans="1:6" x14ac:dyDescent="0.25">
      <c r="A11" t="s">
        <v>13</v>
      </c>
      <c r="B11" s="23">
        <v>0</v>
      </c>
      <c r="C11" s="6">
        <v>20</v>
      </c>
      <c r="D11">
        <f>(B11+B12)/2</f>
        <v>0</v>
      </c>
      <c r="E11" s="24">
        <f>C11/$C$12</f>
        <v>4.0983606557377046E-2</v>
      </c>
      <c r="F11" s="24">
        <f>D11*E11</f>
        <v>0</v>
      </c>
    </row>
    <row r="12" spans="1:6" x14ac:dyDescent="0.25">
      <c r="B12" s="26"/>
      <c r="C12" s="26">
        <f>SUM(C4:C11)</f>
        <v>488</v>
      </c>
      <c r="D12" s="26"/>
      <c r="E12" s="26"/>
      <c r="F12" s="26">
        <f>SUM(F4:F11)</f>
        <v>1.9248668032786882</v>
      </c>
    </row>
    <row r="14" spans="1:6" x14ac:dyDescent="0.25">
      <c r="B14" t="s">
        <v>0</v>
      </c>
      <c r="C14" t="s">
        <v>1</v>
      </c>
      <c r="D14" t="s">
        <v>2</v>
      </c>
      <c r="E14" t="s">
        <v>3</v>
      </c>
      <c r="F14" t="s">
        <v>4</v>
      </c>
    </row>
    <row r="15" spans="1:6" x14ac:dyDescent="0.25">
      <c r="B15" s="5">
        <v>6.36</v>
      </c>
      <c r="C15" s="6">
        <v>26</v>
      </c>
      <c r="D15">
        <f t="shared" ref="D15:D22" si="3">(B15+B16)/2</f>
        <v>5.5600000000000005</v>
      </c>
      <c r="E15" s="25">
        <f>C15/$C$23</f>
        <v>5.5674518201284794E-2</v>
      </c>
      <c r="F15" s="24">
        <f>D15*E15</f>
        <v>0.3095503211991435</v>
      </c>
    </row>
    <row r="16" spans="1:6" x14ac:dyDescent="0.25">
      <c r="B16" s="10">
        <v>4.76</v>
      </c>
      <c r="C16" s="6">
        <v>87</v>
      </c>
      <c r="D16">
        <f t="shared" si="3"/>
        <v>4.0599999999999996</v>
      </c>
      <c r="E16" s="25">
        <f t="shared" ref="E16:E22" si="4">C16/$C$23</f>
        <v>0.18629550321199143</v>
      </c>
      <c r="F16" s="24">
        <f t="shared" ref="F16:F22" si="5">D16*E16</f>
        <v>0.7563597430406851</v>
      </c>
    </row>
    <row r="17" spans="1:9" x14ac:dyDescent="0.25">
      <c r="B17" s="10">
        <v>3.36</v>
      </c>
      <c r="C17" s="6">
        <v>70</v>
      </c>
      <c r="D17">
        <f t="shared" si="3"/>
        <v>2.6799999999999997</v>
      </c>
      <c r="E17" s="25">
        <f t="shared" si="4"/>
        <v>0.14989293361884368</v>
      </c>
      <c r="F17" s="24">
        <f t="shared" si="5"/>
        <v>0.40171306209850099</v>
      </c>
    </row>
    <row r="18" spans="1:9" x14ac:dyDescent="0.25">
      <c r="B18" s="10">
        <v>2</v>
      </c>
      <c r="C18" s="6">
        <v>79</v>
      </c>
      <c r="D18">
        <f t="shared" si="3"/>
        <v>1.5</v>
      </c>
      <c r="E18" s="25">
        <f t="shared" si="4"/>
        <v>0.16916488222698073</v>
      </c>
      <c r="F18" s="24">
        <f t="shared" si="5"/>
        <v>0.25374732334047112</v>
      </c>
    </row>
    <row r="19" spans="1:9" x14ac:dyDescent="0.25">
      <c r="B19" s="10">
        <v>1</v>
      </c>
      <c r="C19" s="6">
        <v>70</v>
      </c>
      <c r="D19">
        <f t="shared" si="3"/>
        <v>0.75</v>
      </c>
      <c r="E19" s="25">
        <f t="shared" si="4"/>
        <v>0.14989293361884368</v>
      </c>
      <c r="F19" s="24">
        <f t="shared" si="5"/>
        <v>0.11241970021413275</v>
      </c>
    </row>
    <row r="20" spans="1:9" x14ac:dyDescent="0.25">
      <c r="B20" s="10">
        <v>0.5</v>
      </c>
      <c r="C20" s="6">
        <v>86</v>
      </c>
      <c r="D20">
        <f t="shared" si="3"/>
        <v>0.375</v>
      </c>
      <c r="E20" s="25">
        <f t="shared" si="4"/>
        <v>0.1841541755888651</v>
      </c>
      <c r="F20" s="24">
        <f t="shared" si="5"/>
        <v>6.9057815845824405E-2</v>
      </c>
    </row>
    <row r="21" spans="1:9" x14ac:dyDescent="0.25">
      <c r="B21" s="10">
        <v>0.25</v>
      </c>
      <c r="C21" s="6">
        <v>42</v>
      </c>
      <c r="D21">
        <f t="shared" si="3"/>
        <v>0.125</v>
      </c>
      <c r="E21" s="25">
        <f t="shared" si="4"/>
        <v>8.9935760171306209E-2</v>
      </c>
      <c r="F21" s="24">
        <f t="shared" si="5"/>
        <v>1.1241970021413276E-2</v>
      </c>
    </row>
    <row r="22" spans="1:9" x14ac:dyDescent="0.25">
      <c r="A22" t="s">
        <v>13</v>
      </c>
      <c r="B22" s="23">
        <v>0</v>
      </c>
      <c r="C22" s="6">
        <v>7</v>
      </c>
      <c r="D22">
        <f t="shared" si="3"/>
        <v>0</v>
      </c>
      <c r="E22" s="25">
        <f t="shared" si="4"/>
        <v>1.4989293361884369E-2</v>
      </c>
      <c r="F22" s="24">
        <f t="shared" si="5"/>
        <v>0</v>
      </c>
      <c r="H22" t="s">
        <v>15</v>
      </c>
      <c r="I22" t="s">
        <v>17</v>
      </c>
    </row>
    <row r="23" spans="1:9" x14ac:dyDescent="0.25">
      <c r="B23" s="27"/>
      <c r="C23" s="27">
        <f>SUM(C15:C22)</f>
        <v>467</v>
      </c>
      <c r="D23" s="27"/>
      <c r="E23" s="27"/>
      <c r="F23" s="28">
        <f>SUM(F15:F22)</f>
        <v>1.9140899357601711</v>
      </c>
      <c r="H23" s="24">
        <f>AVERAGE(F12,F23,F34)</f>
        <v>1.7073666308552766</v>
      </c>
      <c r="I23">
        <f>_xlfn.STDEV.S(F23,F34,F12)</f>
        <v>0.36742782183140144</v>
      </c>
    </row>
    <row r="25" spans="1:9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</row>
    <row r="26" spans="1:9" x14ac:dyDescent="0.25">
      <c r="B26" s="5">
        <v>6.36</v>
      </c>
      <c r="C26" s="6">
        <v>4</v>
      </c>
      <c r="D26">
        <f t="shared" ref="D26:D33" si="6">(B26+B27)/2</f>
        <v>5.5600000000000005</v>
      </c>
      <c r="E26" s="6">
        <f>C26/$C$34</f>
        <v>8.2987551867219917E-3</v>
      </c>
      <c r="F26" s="24">
        <f>D26*E26</f>
        <v>4.6141078838174275E-2</v>
      </c>
    </row>
    <row r="27" spans="1:9" x14ac:dyDescent="0.25">
      <c r="B27" s="10">
        <v>4.76</v>
      </c>
      <c r="C27" s="6">
        <v>54</v>
      </c>
      <c r="D27">
        <f t="shared" si="6"/>
        <v>4.0599999999999996</v>
      </c>
      <c r="E27" s="6">
        <f t="shared" ref="E27:E33" si="7">C27/$C$34</f>
        <v>0.11203319502074689</v>
      </c>
      <c r="F27" s="24">
        <f t="shared" ref="F27:F33" si="8">D27*E27</f>
        <v>0.45485477178423234</v>
      </c>
    </row>
    <row r="28" spans="1:9" x14ac:dyDescent="0.25">
      <c r="B28" s="10">
        <v>3.36</v>
      </c>
      <c r="C28" s="6">
        <v>59</v>
      </c>
      <c r="D28">
        <f t="shared" si="6"/>
        <v>2.6799999999999997</v>
      </c>
      <c r="E28" s="6">
        <f t="shared" si="7"/>
        <v>0.12240663900414937</v>
      </c>
      <c r="F28" s="24">
        <f t="shared" si="8"/>
        <v>0.32804979253112027</v>
      </c>
    </row>
    <row r="29" spans="1:9" x14ac:dyDescent="0.25">
      <c r="B29" s="10">
        <v>2</v>
      </c>
      <c r="C29" s="6">
        <v>75</v>
      </c>
      <c r="D29">
        <f t="shared" si="6"/>
        <v>1.5</v>
      </c>
      <c r="E29" s="6">
        <f t="shared" si="7"/>
        <v>0.15560165975103735</v>
      </c>
      <c r="F29" s="24">
        <f t="shared" si="8"/>
        <v>0.23340248962655602</v>
      </c>
    </row>
    <row r="30" spans="1:9" x14ac:dyDescent="0.25">
      <c r="B30" s="10">
        <v>1</v>
      </c>
      <c r="C30" s="6">
        <v>75</v>
      </c>
      <c r="D30">
        <f t="shared" si="6"/>
        <v>0.75</v>
      </c>
      <c r="E30" s="6">
        <f t="shared" si="7"/>
        <v>0.15560165975103735</v>
      </c>
      <c r="F30" s="24">
        <f t="shared" si="8"/>
        <v>0.11670124481327801</v>
      </c>
    </row>
    <row r="31" spans="1:9" x14ac:dyDescent="0.25">
      <c r="B31" s="10">
        <v>0.5</v>
      </c>
      <c r="C31" s="6">
        <v>113</v>
      </c>
      <c r="D31">
        <f t="shared" si="6"/>
        <v>0.375</v>
      </c>
      <c r="E31" s="6">
        <f t="shared" si="7"/>
        <v>0.23443983402489627</v>
      </c>
      <c r="F31" s="24">
        <f t="shared" si="8"/>
        <v>8.7914937759336093E-2</v>
      </c>
    </row>
    <row r="32" spans="1:9" x14ac:dyDescent="0.25">
      <c r="B32" s="10">
        <v>0.25</v>
      </c>
      <c r="C32" s="6">
        <v>62</v>
      </c>
      <c r="D32">
        <f t="shared" si="6"/>
        <v>0.125</v>
      </c>
      <c r="E32" s="6">
        <f t="shared" si="7"/>
        <v>0.12863070539419086</v>
      </c>
      <c r="F32" s="24">
        <f t="shared" si="8"/>
        <v>1.6078838174273857E-2</v>
      </c>
    </row>
    <row r="33" spans="1:6" x14ac:dyDescent="0.25">
      <c r="A33" t="s">
        <v>13</v>
      </c>
      <c r="B33" s="23">
        <v>0</v>
      </c>
      <c r="C33" s="6">
        <v>40</v>
      </c>
      <c r="D33">
        <f t="shared" si="6"/>
        <v>0</v>
      </c>
      <c r="E33" s="6">
        <f t="shared" si="7"/>
        <v>8.2987551867219914E-2</v>
      </c>
      <c r="F33" s="24">
        <f t="shared" si="8"/>
        <v>0</v>
      </c>
    </row>
    <row r="34" spans="1:6" ht="15.75" thickBot="1" x14ac:dyDescent="0.3">
      <c r="B34" s="29"/>
      <c r="C34" s="30">
        <f>SUM(C26:C33)</f>
        <v>482</v>
      </c>
      <c r="D34" s="29"/>
      <c r="E34" s="29"/>
      <c r="F34" s="31">
        <f>SUM(F26:F33)</f>
        <v>1.2831431535269708</v>
      </c>
    </row>
    <row r="37" spans="1:6" x14ac:dyDescent="0.25">
      <c r="B37" t="s">
        <v>16</v>
      </c>
    </row>
    <row r="39" spans="1:6" x14ac:dyDescent="0.25">
      <c r="B39" t="s">
        <v>0</v>
      </c>
      <c r="C39" t="s">
        <v>1</v>
      </c>
      <c r="D39" t="s">
        <v>2</v>
      </c>
      <c r="E39" t="s">
        <v>3</v>
      </c>
      <c r="F39" t="s">
        <v>4</v>
      </c>
    </row>
    <row r="40" spans="1:6" x14ac:dyDescent="0.25">
      <c r="B40" s="5">
        <v>6.36</v>
      </c>
      <c r="C40" s="32">
        <v>32.6</v>
      </c>
      <c r="D40">
        <f t="shared" ref="D40:D47" si="9">(B40+B41)/2</f>
        <v>5.5600000000000005</v>
      </c>
      <c r="E40" s="24">
        <f>C40/$C$12</f>
        <v>6.6803278688524592E-2</v>
      </c>
      <c r="F40" s="24">
        <f>D40*E40</f>
        <v>0.37142622950819676</v>
      </c>
    </row>
    <row r="41" spans="1:6" x14ac:dyDescent="0.25">
      <c r="B41" s="10">
        <v>4.76</v>
      </c>
      <c r="C41" s="32">
        <v>2.4</v>
      </c>
      <c r="D41">
        <f t="shared" si="9"/>
        <v>4.0599999999999996</v>
      </c>
      <c r="E41" s="24">
        <f t="shared" ref="E41:E47" si="10">C41/$C$12</f>
        <v>4.9180327868852455E-3</v>
      </c>
      <c r="F41" s="24">
        <f t="shared" ref="F41:F47" si="11">D41*E41</f>
        <v>1.9967213114754096E-2</v>
      </c>
    </row>
    <row r="42" spans="1:6" x14ac:dyDescent="0.25">
      <c r="B42" s="10">
        <v>3.36</v>
      </c>
      <c r="C42" s="32">
        <v>9.6999999999999993</v>
      </c>
      <c r="D42">
        <f t="shared" si="9"/>
        <v>2.6799999999999997</v>
      </c>
      <c r="E42" s="24">
        <f t="shared" si="10"/>
        <v>1.9877049180327868E-2</v>
      </c>
      <c r="F42" s="24">
        <f t="shared" si="11"/>
        <v>5.3270491803278683E-2</v>
      </c>
    </row>
    <row r="43" spans="1:6" x14ac:dyDescent="0.25">
      <c r="B43" s="10">
        <v>2</v>
      </c>
      <c r="C43" s="32">
        <v>20.7</v>
      </c>
      <c r="D43">
        <f t="shared" si="9"/>
        <v>1.5</v>
      </c>
      <c r="E43" s="24">
        <f t="shared" si="10"/>
        <v>4.2418032786885246E-2</v>
      </c>
      <c r="F43" s="24">
        <f t="shared" si="11"/>
        <v>6.3627049180327869E-2</v>
      </c>
    </row>
    <row r="44" spans="1:6" x14ac:dyDescent="0.25">
      <c r="B44" s="10">
        <v>1</v>
      </c>
      <c r="C44" s="32">
        <v>30.2</v>
      </c>
      <c r="D44">
        <f t="shared" si="9"/>
        <v>0.75</v>
      </c>
      <c r="E44" s="24">
        <f t="shared" si="10"/>
        <v>6.1885245901639345E-2</v>
      </c>
      <c r="F44" s="24">
        <f t="shared" si="11"/>
        <v>4.6413934426229507E-2</v>
      </c>
    </row>
    <row r="45" spans="1:6" x14ac:dyDescent="0.25">
      <c r="B45" s="10">
        <v>0.5</v>
      </c>
      <c r="C45" s="32">
        <v>81.8</v>
      </c>
      <c r="D45">
        <f t="shared" si="9"/>
        <v>0.375</v>
      </c>
      <c r="E45" s="24">
        <f t="shared" si="10"/>
        <v>0.16762295081967213</v>
      </c>
      <c r="F45" s="24">
        <f t="shared" si="11"/>
        <v>6.2858606557377045E-2</v>
      </c>
    </row>
    <row r="46" spans="1:6" x14ac:dyDescent="0.25">
      <c r="B46" s="10">
        <v>0.25</v>
      </c>
      <c r="C46" s="32">
        <v>89.4</v>
      </c>
      <c r="D46">
        <f t="shared" si="9"/>
        <v>0.125</v>
      </c>
      <c r="E46" s="24">
        <f t="shared" si="10"/>
        <v>0.18319672131147541</v>
      </c>
      <c r="F46" s="24">
        <f t="shared" si="11"/>
        <v>2.2899590163934426E-2</v>
      </c>
    </row>
    <row r="47" spans="1:6" x14ac:dyDescent="0.25">
      <c r="A47" t="s">
        <v>13</v>
      </c>
      <c r="B47" s="23">
        <v>0</v>
      </c>
      <c r="C47" s="32">
        <v>230.6</v>
      </c>
      <c r="D47">
        <f t="shared" si="9"/>
        <v>0</v>
      </c>
      <c r="E47" s="24">
        <f t="shared" si="10"/>
        <v>0.47254098360655739</v>
      </c>
      <c r="F47" s="24">
        <f t="shared" si="11"/>
        <v>0</v>
      </c>
    </row>
    <row r="48" spans="1:6" ht="15.75" thickBot="1" x14ac:dyDescent="0.3">
      <c r="B48" s="26"/>
      <c r="C48" s="33">
        <v>497.4</v>
      </c>
      <c r="D48" s="26"/>
      <c r="E48" s="26"/>
      <c r="F48" s="26">
        <f>SUM(F40:F47)</f>
        <v>0.64046311475409845</v>
      </c>
    </row>
    <row r="50" spans="1:9" x14ac:dyDescent="0.25">
      <c r="B50" t="s">
        <v>0</v>
      </c>
      <c r="C50" t="s">
        <v>1</v>
      </c>
      <c r="D50" t="s">
        <v>2</v>
      </c>
      <c r="E50" t="s">
        <v>3</v>
      </c>
      <c r="F50" t="s">
        <v>4</v>
      </c>
    </row>
    <row r="51" spans="1:9" x14ac:dyDescent="0.25">
      <c r="B51" s="5">
        <v>6.36</v>
      </c>
      <c r="C51" s="32">
        <v>17.7</v>
      </c>
      <c r="D51">
        <f t="shared" ref="D51:D58" si="12">(B51+B52)/2</f>
        <v>5.5600000000000005</v>
      </c>
      <c r="E51" s="25">
        <f>C51/$C$23</f>
        <v>3.790149892933619E-2</v>
      </c>
      <c r="F51" s="24">
        <f>D51*E51</f>
        <v>0.21073233404710923</v>
      </c>
    </row>
    <row r="52" spans="1:9" x14ac:dyDescent="0.25">
      <c r="B52" s="10">
        <v>4.76</v>
      </c>
      <c r="C52" s="32">
        <v>1.7</v>
      </c>
      <c r="D52">
        <f t="shared" si="12"/>
        <v>4.0599999999999996</v>
      </c>
      <c r="E52" s="25">
        <f t="shared" ref="E52:E58" si="13">C52/$C$23</f>
        <v>3.6402569593147749E-3</v>
      </c>
      <c r="F52" s="24">
        <f t="shared" ref="F52:F58" si="14">D52*E52</f>
        <v>1.4779443254817984E-2</v>
      </c>
    </row>
    <row r="53" spans="1:9" x14ac:dyDescent="0.25">
      <c r="B53" s="10">
        <v>3.36</v>
      </c>
      <c r="C53" s="32">
        <v>8.6</v>
      </c>
      <c r="D53">
        <f t="shared" si="12"/>
        <v>2.6799999999999997</v>
      </c>
      <c r="E53" s="25">
        <f t="shared" si="13"/>
        <v>1.841541755888651E-2</v>
      </c>
      <c r="F53" s="24">
        <f t="shared" si="14"/>
        <v>4.9353319057815842E-2</v>
      </c>
    </row>
    <row r="54" spans="1:9" x14ac:dyDescent="0.25">
      <c r="B54" s="10">
        <v>2</v>
      </c>
      <c r="C54" s="32">
        <v>13.8</v>
      </c>
      <c r="D54">
        <f t="shared" si="12"/>
        <v>1.5</v>
      </c>
      <c r="E54" s="25">
        <f t="shared" si="13"/>
        <v>2.955032119914347E-2</v>
      </c>
      <c r="F54" s="24">
        <f t="shared" si="14"/>
        <v>4.4325481798715205E-2</v>
      </c>
    </row>
    <row r="55" spans="1:9" x14ac:dyDescent="0.25">
      <c r="B55" s="10">
        <v>1</v>
      </c>
      <c r="C55" s="32">
        <v>24.8</v>
      </c>
      <c r="D55">
        <f t="shared" si="12"/>
        <v>0.75</v>
      </c>
      <c r="E55" s="25">
        <f t="shared" si="13"/>
        <v>5.3104925053533189E-2</v>
      </c>
      <c r="F55" s="24">
        <f t="shared" si="14"/>
        <v>3.9828693790149888E-2</v>
      </c>
    </row>
    <row r="56" spans="1:9" x14ac:dyDescent="0.25">
      <c r="B56" s="10">
        <v>0.5</v>
      </c>
      <c r="C56" s="32">
        <v>74.900000000000006</v>
      </c>
      <c r="D56">
        <f t="shared" si="12"/>
        <v>0.375</v>
      </c>
      <c r="E56" s="25">
        <f t="shared" si="13"/>
        <v>0.16038543897216276</v>
      </c>
      <c r="F56" s="24">
        <f t="shared" si="14"/>
        <v>6.0144539614561038E-2</v>
      </c>
    </row>
    <row r="57" spans="1:9" x14ac:dyDescent="0.25">
      <c r="B57" s="10">
        <v>0.25</v>
      </c>
      <c r="C57" s="32">
        <v>90.2</v>
      </c>
      <c r="D57">
        <f t="shared" si="12"/>
        <v>0.125</v>
      </c>
      <c r="E57" s="25">
        <f t="shared" si="13"/>
        <v>0.19314775160599573</v>
      </c>
      <c r="F57" s="24">
        <f t="shared" si="14"/>
        <v>2.4143468950749467E-2</v>
      </c>
    </row>
    <row r="58" spans="1:9" x14ac:dyDescent="0.25">
      <c r="A58" t="s">
        <v>13</v>
      </c>
      <c r="B58" s="23">
        <v>0</v>
      </c>
      <c r="C58" s="32">
        <v>265.89999999999998</v>
      </c>
      <c r="D58">
        <f t="shared" si="12"/>
        <v>0</v>
      </c>
      <c r="E58" s="25">
        <f t="shared" si="13"/>
        <v>0.56937901498929333</v>
      </c>
      <c r="F58" s="24">
        <f t="shared" si="14"/>
        <v>0</v>
      </c>
      <c r="H58" t="s">
        <v>15</v>
      </c>
      <c r="I58" t="s">
        <v>17</v>
      </c>
    </row>
    <row r="59" spans="1:9" x14ac:dyDescent="0.25">
      <c r="B59" s="27"/>
      <c r="C59" s="27">
        <f>SUM(C51:C58)</f>
        <v>497.59999999999997</v>
      </c>
      <c r="D59" s="27"/>
      <c r="E59" s="27"/>
      <c r="F59" s="28">
        <f>SUM(F51:F58)</f>
        <v>0.44330728051391866</v>
      </c>
      <c r="H59" s="24">
        <f>AVERAGE(F48,F59,F70)</f>
        <v>0.65052927421796969</v>
      </c>
      <c r="I59">
        <f>_xlfn.STDEV.S(F59,F70,F48)</f>
        <v>0.21243401769509543</v>
      </c>
    </row>
    <row r="61" spans="1:9" x14ac:dyDescent="0.25">
      <c r="B61" t="s">
        <v>0</v>
      </c>
      <c r="C61" t="s">
        <v>1</v>
      </c>
      <c r="D61" t="s">
        <v>2</v>
      </c>
      <c r="E61" t="s">
        <v>3</v>
      </c>
      <c r="F61" t="s">
        <v>4</v>
      </c>
    </row>
    <row r="62" spans="1:9" x14ac:dyDescent="0.25">
      <c r="B62" s="5">
        <v>6.36</v>
      </c>
      <c r="C62" s="32">
        <v>57</v>
      </c>
      <c r="D62">
        <f t="shared" ref="D62:D69" si="15">(B62+B63)/2</f>
        <v>5.5600000000000005</v>
      </c>
      <c r="E62" s="6">
        <f>C62/$C$34</f>
        <v>0.11825726141078838</v>
      </c>
      <c r="F62" s="24">
        <f>D62*E62</f>
        <v>0.65751037344398344</v>
      </c>
    </row>
    <row r="63" spans="1:9" x14ac:dyDescent="0.25">
      <c r="B63" s="10">
        <v>4.76</v>
      </c>
      <c r="C63" s="32">
        <v>2.8</v>
      </c>
      <c r="D63">
        <f t="shared" si="15"/>
        <v>4.0599999999999996</v>
      </c>
      <c r="E63" s="6">
        <f t="shared" ref="E63:E69" si="16">C63/$C$34</f>
        <v>5.8091286307053935E-3</v>
      </c>
      <c r="F63" s="24">
        <f t="shared" ref="F63:F69" si="17">D63*E63</f>
        <v>2.3585062240663895E-2</v>
      </c>
    </row>
    <row r="64" spans="1:9" x14ac:dyDescent="0.25">
      <c r="B64" s="10">
        <v>3.36</v>
      </c>
      <c r="C64" s="32">
        <v>7.5</v>
      </c>
      <c r="D64">
        <f t="shared" si="15"/>
        <v>2.6799999999999997</v>
      </c>
      <c r="E64" s="6">
        <f t="shared" si="16"/>
        <v>1.5560165975103735E-2</v>
      </c>
      <c r="F64" s="24">
        <f t="shared" si="17"/>
        <v>4.1701244813278006E-2</v>
      </c>
    </row>
    <row r="65" spans="1:6" x14ac:dyDescent="0.25">
      <c r="B65" s="10">
        <v>2</v>
      </c>
      <c r="C65" s="32">
        <v>13.9</v>
      </c>
      <c r="D65">
        <f t="shared" si="15"/>
        <v>1.5</v>
      </c>
      <c r="E65" s="6">
        <f t="shared" si="16"/>
        <v>2.8838174273858923E-2</v>
      </c>
      <c r="F65" s="24">
        <f t="shared" si="17"/>
        <v>4.3257261410788381E-2</v>
      </c>
    </row>
    <row r="66" spans="1:6" x14ac:dyDescent="0.25">
      <c r="B66" s="10">
        <v>1</v>
      </c>
      <c r="C66" s="32">
        <v>21.3</v>
      </c>
      <c r="D66">
        <f t="shared" si="15"/>
        <v>0.75</v>
      </c>
      <c r="E66" s="6">
        <f t="shared" si="16"/>
        <v>4.4190871369294608E-2</v>
      </c>
      <c r="F66" s="24">
        <f t="shared" si="17"/>
        <v>3.3143153526970955E-2</v>
      </c>
    </row>
    <row r="67" spans="1:6" x14ac:dyDescent="0.25">
      <c r="B67" s="10">
        <v>0.5</v>
      </c>
      <c r="C67" s="32">
        <v>58.7</v>
      </c>
      <c r="D67">
        <f t="shared" si="15"/>
        <v>0.375</v>
      </c>
      <c r="E67" s="6">
        <f t="shared" si="16"/>
        <v>0.12178423236514524</v>
      </c>
      <c r="F67" s="24">
        <f t="shared" si="17"/>
        <v>4.5669087136929465E-2</v>
      </c>
    </row>
    <row r="68" spans="1:6" x14ac:dyDescent="0.25">
      <c r="B68" s="10">
        <v>0.25</v>
      </c>
      <c r="C68" s="32">
        <v>88.5</v>
      </c>
      <c r="D68">
        <f t="shared" si="15"/>
        <v>0.125</v>
      </c>
      <c r="E68" s="6">
        <f t="shared" si="16"/>
        <v>0.18360995850622408</v>
      </c>
      <c r="F68" s="24">
        <f t="shared" si="17"/>
        <v>2.295124481327801E-2</v>
      </c>
    </row>
    <row r="69" spans="1:6" x14ac:dyDescent="0.25">
      <c r="A69" t="s">
        <v>13</v>
      </c>
      <c r="B69" s="23">
        <v>0</v>
      </c>
      <c r="C69" s="32">
        <v>247.8</v>
      </c>
      <c r="D69">
        <f t="shared" si="15"/>
        <v>0</v>
      </c>
      <c r="E69" s="6">
        <f t="shared" si="16"/>
        <v>0.51410788381742745</v>
      </c>
      <c r="F69" s="24">
        <f t="shared" si="17"/>
        <v>0</v>
      </c>
    </row>
    <row r="70" spans="1:6" ht="15.75" thickBot="1" x14ac:dyDescent="0.3">
      <c r="B70" s="29"/>
      <c r="C70" s="30">
        <f>SUM(C62:C69)</f>
        <v>497.5</v>
      </c>
      <c r="D70" s="29"/>
      <c r="E70" s="29"/>
      <c r="F70" s="31">
        <f>SUM(F62:F69)</f>
        <v>0.86781742738589207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3F31-23B1-4BEA-B7F9-715FCCEB1A07}">
  <dimension ref="B2:N24"/>
  <sheetViews>
    <sheetView workbookViewId="0">
      <selection activeCell="D16" sqref="D16:D24"/>
    </sheetView>
  </sheetViews>
  <sheetFormatPr baseColWidth="10" defaultRowHeight="15" x14ac:dyDescent="0.25"/>
  <sheetData>
    <row r="2" spans="2:14" ht="15.75" thickBot="1" x14ac:dyDescent="0.3">
      <c r="B2">
        <v>480</v>
      </c>
    </row>
    <row r="3" spans="2:14" ht="15.75" thickBot="1" x14ac:dyDescent="0.3">
      <c r="B3" s="1" t="s">
        <v>10</v>
      </c>
      <c r="C3" s="1" t="s">
        <v>5</v>
      </c>
      <c r="D3" s="2" t="s">
        <v>6</v>
      </c>
      <c r="E3" s="3" t="s">
        <v>7</v>
      </c>
      <c r="F3" s="1" t="s">
        <v>8</v>
      </c>
      <c r="G3" s="4" t="s">
        <v>9</v>
      </c>
    </row>
    <row r="4" spans="2:14" ht="15.75" x14ac:dyDescent="0.25">
      <c r="B4" s="14">
        <v>4</v>
      </c>
      <c r="C4" s="5">
        <v>6.36</v>
      </c>
      <c r="D4" s="6">
        <v>30</v>
      </c>
      <c r="E4" s="7">
        <f>(D4/D12)*100</f>
        <v>6.1475409836065573</v>
      </c>
      <c r="F4" s="8">
        <f>E4</f>
        <v>6.1475409836065573</v>
      </c>
      <c r="G4" s="9">
        <f>100-F4</f>
        <v>93.852459016393439</v>
      </c>
    </row>
    <row r="5" spans="2:14" ht="15.75" x14ac:dyDescent="0.25">
      <c r="B5" s="15">
        <v>10</v>
      </c>
      <c r="C5" s="10">
        <v>4.76</v>
      </c>
      <c r="D5" s="6">
        <v>81</v>
      </c>
      <c r="E5" s="11">
        <f>(D5/D12)*100</f>
        <v>16.598360655737704</v>
      </c>
      <c r="F5" s="12">
        <f>F4+E5</f>
        <v>22.745901639344261</v>
      </c>
      <c r="G5" s="13">
        <f t="shared" ref="G5:G6" si="0">100-F5</f>
        <v>77.254098360655746</v>
      </c>
    </row>
    <row r="6" spans="2:14" ht="15.75" x14ac:dyDescent="0.25">
      <c r="B6" s="15">
        <v>20</v>
      </c>
      <c r="C6" s="10">
        <v>3.36</v>
      </c>
      <c r="D6" s="6">
        <v>85</v>
      </c>
      <c r="E6" s="11">
        <f>(D6/D12)*100</f>
        <v>17.418032786885245</v>
      </c>
      <c r="F6" s="12">
        <f t="shared" ref="F6" si="1">F5+E6</f>
        <v>40.163934426229503</v>
      </c>
      <c r="G6" s="13">
        <f t="shared" si="0"/>
        <v>59.836065573770497</v>
      </c>
    </row>
    <row r="7" spans="2:14" ht="15.75" x14ac:dyDescent="0.25">
      <c r="B7" s="15">
        <v>40</v>
      </c>
      <c r="C7" s="10">
        <v>2</v>
      </c>
      <c r="D7" s="6">
        <v>84</v>
      </c>
      <c r="E7" s="11">
        <f>(D7/D12)*100</f>
        <v>17.21311475409836</v>
      </c>
      <c r="F7" s="12">
        <f>F6+E7</f>
        <v>57.377049180327859</v>
      </c>
      <c r="G7" s="13">
        <f>100-F7</f>
        <v>42.622950819672141</v>
      </c>
    </row>
    <row r="8" spans="2:14" ht="16.5" thickBot="1" x14ac:dyDescent="0.3">
      <c r="B8" s="15">
        <v>60</v>
      </c>
      <c r="C8" s="10">
        <v>1</v>
      </c>
      <c r="D8" s="6">
        <v>73</v>
      </c>
      <c r="E8" s="11">
        <f>(D8/D12)*100</f>
        <v>14.959016393442623</v>
      </c>
      <c r="F8" s="12">
        <f t="shared" ref="F8:F10" si="2">F7+E8</f>
        <v>72.336065573770483</v>
      </c>
      <c r="G8" s="13">
        <f t="shared" ref="G8:G10" si="3">100-F8</f>
        <v>27.663934426229517</v>
      </c>
      <c r="I8">
        <v>480</v>
      </c>
    </row>
    <row r="9" spans="2:14" ht="16.5" thickBot="1" x14ac:dyDescent="0.3">
      <c r="B9" s="15">
        <v>80</v>
      </c>
      <c r="C9" s="10">
        <v>0.5</v>
      </c>
      <c r="D9" s="6">
        <v>83</v>
      </c>
      <c r="E9" s="11">
        <f>(D9/D12)*100</f>
        <v>17.008196721311474</v>
      </c>
      <c r="F9" s="12">
        <f>F8+E9</f>
        <v>89.344262295081961</v>
      </c>
      <c r="G9" s="13">
        <f t="shared" si="3"/>
        <v>10.655737704918039</v>
      </c>
      <c r="I9" s="1" t="s">
        <v>10</v>
      </c>
      <c r="J9" s="1" t="s">
        <v>5</v>
      </c>
      <c r="K9" s="2" t="s">
        <v>6</v>
      </c>
      <c r="L9" s="3" t="s">
        <v>7</v>
      </c>
      <c r="M9" s="1" t="s">
        <v>8</v>
      </c>
      <c r="N9" s="4" t="s">
        <v>9</v>
      </c>
    </row>
    <row r="10" spans="2:14" ht="15.75" x14ac:dyDescent="0.25">
      <c r="B10" s="15">
        <v>100</v>
      </c>
      <c r="C10" s="10">
        <v>0.25</v>
      </c>
      <c r="D10" s="6">
        <v>32</v>
      </c>
      <c r="E10" s="11">
        <f>(D10/D12)*100</f>
        <v>6.557377049180328</v>
      </c>
      <c r="F10" s="12">
        <f t="shared" si="2"/>
        <v>95.901639344262293</v>
      </c>
      <c r="G10" s="13">
        <f t="shared" si="3"/>
        <v>4.0983606557377072</v>
      </c>
      <c r="I10" s="14">
        <v>4</v>
      </c>
      <c r="J10" s="5">
        <v>6.36</v>
      </c>
      <c r="K10" s="6">
        <v>26</v>
      </c>
      <c r="L10" s="7">
        <f>(K10/K18)*100</f>
        <v>5.5674518201284791</v>
      </c>
      <c r="M10" s="8">
        <f>L10</f>
        <v>5.5674518201284791</v>
      </c>
      <c r="N10" s="9">
        <f>100-M10</f>
        <v>94.432548179871517</v>
      </c>
    </row>
    <row r="11" spans="2:14" ht="15.75" x14ac:dyDescent="0.25">
      <c r="B11" s="16" t="s">
        <v>11</v>
      </c>
      <c r="C11" s="17"/>
      <c r="D11" s="6">
        <v>20</v>
      </c>
      <c r="E11" s="11">
        <f>(D11/D12)*100</f>
        <v>4.0983606557377046</v>
      </c>
      <c r="F11" s="12"/>
      <c r="G11" s="13">
        <f>100-F11</f>
        <v>100</v>
      </c>
      <c r="I11" s="15">
        <v>10</v>
      </c>
      <c r="J11" s="10">
        <v>4.76</v>
      </c>
      <c r="K11" s="6">
        <v>87</v>
      </c>
      <c r="L11" s="11">
        <f>(K11/K18)*100</f>
        <v>18.629550321199144</v>
      </c>
      <c r="M11" s="12">
        <f>M10+L11</f>
        <v>24.197002141327623</v>
      </c>
      <c r="N11" s="13">
        <f t="shared" ref="N11:N12" si="4">100-M11</f>
        <v>75.80299785867237</v>
      </c>
    </row>
    <row r="12" spans="2:14" ht="16.5" thickBot="1" x14ac:dyDescent="0.3">
      <c r="B12" s="18" t="s">
        <v>12</v>
      </c>
      <c r="C12" s="19"/>
      <c r="D12" s="20">
        <f>SUM(D4:D11)</f>
        <v>488</v>
      </c>
      <c r="E12" s="21">
        <f>SUM(E4:E11)</f>
        <v>100</v>
      </c>
      <c r="F12" s="21"/>
      <c r="G12" s="22"/>
      <c r="I12" s="15">
        <v>20</v>
      </c>
      <c r="J12" s="10">
        <v>3.36</v>
      </c>
      <c r="K12" s="6">
        <v>70</v>
      </c>
      <c r="L12" s="11">
        <f>(K12/K18)*100</f>
        <v>14.989293361884368</v>
      </c>
      <c r="M12" s="12">
        <f t="shared" ref="M12" si="5">M11+L12</f>
        <v>39.186295503211994</v>
      </c>
      <c r="N12" s="13">
        <f t="shared" si="4"/>
        <v>60.813704496788006</v>
      </c>
    </row>
    <row r="13" spans="2:14" ht="15.75" x14ac:dyDescent="0.25">
      <c r="I13" s="15">
        <v>40</v>
      </c>
      <c r="J13" s="10">
        <v>2</v>
      </c>
      <c r="K13" s="6">
        <v>79</v>
      </c>
      <c r="L13" s="11">
        <f>(K13/K18)*100</f>
        <v>16.916488222698074</v>
      </c>
      <c r="M13" s="12">
        <f>M12+L13</f>
        <v>56.102783725910072</v>
      </c>
      <c r="N13" s="13">
        <f>100-M13</f>
        <v>43.897216274089928</v>
      </c>
    </row>
    <row r="14" spans="2:14" ht="16.5" thickBot="1" x14ac:dyDescent="0.3">
      <c r="B14">
        <v>480</v>
      </c>
      <c r="I14" s="15">
        <v>60</v>
      </c>
      <c r="J14" s="10">
        <v>1</v>
      </c>
      <c r="K14" s="6">
        <v>70</v>
      </c>
      <c r="L14" s="11">
        <f>(K14/K18)*100</f>
        <v>14.989293361884368</v>
      </c>
      <c r="M14" s="12">
        <f t="shared" ref="M14" si="6">M13+L14</f>
        <v>71.092077087794436</v>
      </c>
      <c r="N14" s="13">
        <f t="shared" ref="N14:N16" si="7">100-M14</f>
        <v>28.907922912205564</v>
      </c>
    </row>
    <row r="15" spans="2:14" ht="16.5" thickBot="1" x14ac:dyDescent="0.3">
      <c r="B15" s="1" t="s">
        <v>10</v>
      </c>
      <c r="C15" s="1" t="s">
        <v>5</v>
      </c>
      <c r="D15" s="2" t="s">
        <v>6</v>
      </c>
      <c r="E15" s="3" t="s">
        <v>7</v>
      </c>
      <c r="F15" s="1" t="s">
        <v>8</v>
      </c>
      <c r="G15" s="4" t="s">
        <v>9</v>
      </c>
      <c r="I15" s="15">
        <v>80</v>
      </c>
      <c r="J15" s="10">
        <v>0.5</v>
      </c>
      <c r="K15" s="6">
        <v>86</v>
      </c>
      <c r="L15" s="11">
        <f>(K15/K18)*100</f>
        <v>18.41541755888651</v>
      </c>
      <c r="M15" s="12">
        <f>M14+L15</f>
        <v>89.507494646680954</v>
      </c>
      <c r="N15" s="13">
        <f t="shared" si="7"/>
        <v>10.492505353319046</v>
      </c>
    </row>
    <row r="16" spans="2:14" ht="15.75" x14ac:dyDescent="0.25">
      <c r="B16" s="14">
        <v>4</v>
      </c>
      <c r="C16" s="5">
        <v>6.36</v>
      </c>
      <c r="D16" s="6">
        <v>4</v>
      </c>
      <c r="E16" s="7">
        <f>(D16/D24)*100</f>
        <v>0.82987551867219922</v>
      </c>
      <c r="F16" s="8">
        <f>E16</f>
        <v>0.82987551867219922</v>
      </c>
      <c r="G16" s="9">
        <f>100-F16</f>
        <v>99.170124481327804</v>
      </c>
      <c r="I16" s="15">
        <v>100</v>
      </c>
      <c r="J16" s="10">
        <v>0.25</v>
      </c>
      <c r="K16" s="6">
        <v>42</v>
      </c>
      <c r="L16" s="11">
        <f>(K16/K18)*100</f>
        <v>8.9935760171306214</v>
      </c>
      <c r="M16" s="12">
        <f t="shared" ref="M16" si="8">M15+L16</f>
        <v>98.501070663811575</v>
      </c>
      <c r="N16" s="13">
        <f t="shared" si="7"/>
        <v>1.4989293361884251</v>
      </c>
    </row>
    <row r="17" spans="2:14" ht="15.75" x14ac:dyDescent="0.25">
      <c r="B17" s="15">
        <v>10</v>
      </c>
      <c r="C17" s="10">
        <v>4.76</v>
      </c>
      <c r="D17" s="6">
        <v>54</v>
      </c>
      <c r="E17" s="11">
        <f>(D17/D24)*100</f>
        <v>11.20331950207469</v>
      </c>
      <c r="F17" s="12">
        <f>F16+E17</f>
        <v>12.03319502074689</v>
      </c>
      <c r="G17" s="13">
        <f t="shared" ref="G17:G18" si="9">100-F17</f>
        <v>87.966804979253112</v>
      </c>
      <c r="I17" s="16" t="s">
        <v>11</v>
      </c>
      <c r="J17" s="17"/>
      <c r="K17" s="6">
        <v>7</v>
      </c>
      <c r="L17" s="11">
        <f>(K17/K18)*100</f>
        <v>1.4989293361884368</v>
      </c>
      <c r="M17" s="12"/>
      <c r="N17" s="13">
        <f>100-M17</f>
        <v>100</v>
      </c>
    </row>
    <row r="18" spans="2:14" ht="16.5" thickBot="1" x14ac:dyDescent="0.3">
      <c r="B18" s="15">
        <v>20</v>
      </c>
      <c r="C18" s="10">
        <v>3.36</v>
      </c>
      <c r="D18" s="6">
        <v>59</v>
      </c>
      <c r="E18" s="11">
        <f>(D18/D24)*100</f>
        <v>12.240663900414937</v>
      </c>
      <c r="F18" s="12">
        <f t="shared" ref="F18" si="10">F17+E18</f>
        <v>24.273858921161825</v>
      </c>
      <c r="G18" s="13">
        <f t="shared" si="9"/>
        <v>75.726141078838168</v>
      </c>
      <c r="I18" s="18" t="s">
        <v>12</v>
      </c>
      <c r="J18" s="19"/>
      <c r="K18" s="20">
        <f>SUM(K10:K17)</f>
        <v>467</v>
      </c>
      <c r="L18" s="21">
        <f>SUM(L10:L17)</f>
        <v>100.00000000000001</v>
      </c>
      <c r="M18" s="21"/>
      <c r="N18" s="22"/>
    </row>
    <row r="19" spans="2:14" ht="15.75" x14ac:dyDescent="0.25">
      <c r="B19" s="15">
        <v>40</v>
      </c>
      <c r="C19" s="10">
        <v>2</v>
      </c>
      <c r="D19" s="6">
        <v>75</v>
      </c>
      <c r="E19" s="11">
        <f>(D19/D24)*100</f>
        <v>15.560165975103734</v>
      </c>
      <c r="F19" s="12">
        <f>F18+E19</f>
        <v>39.834024896265561</v>
      </c>
      <c r="G19" s="13">
        <f>100-F19</f>
        <v>60.165975103734439</v>
      </c>
    </row>
    <row r="20" spans="2:14" ht="15.75" x14ac:dyDescent="0.25">
      <c r="B20" s="15">
        <v>60</v>
      </c>
      <c r="C20" s="10">
        <v>1</v>
      </c>
      <c r="D20" s="6">
        <v>75</v>
      </c>
      <c r="E20" s="11">
        <f>(D20/D24)*100</f>
        <v>15.560165975103734</v>
      </c>
      <c r="F20" s="12">
        <f t="shared" ref="F20" si="11">F19+E20</f>
        <v>55.394190871369297</v>
      </c>
      <c r="G20" s="13">
        <f t="shared" ref="G20:G22" si="12">100-F20</f>
        <v>44.605809128630703</v>
      </c>
    </row>
    <row r="21" spans="2:14" ht="15.75" x14ac:dyDescent="0.25">
      <c r="B21" s="15">
        <v>80</v>
      </c>
      <c r="C21" s="10">
        <v>0.5</v>
      </c>
      <c r="D21" s="6">
        <v>113</v>
      </c>
      <c r="E21" s="11">
        <f>(D21/D24)*100</f>
        <v>23.443983402489625</v>
      </c>
      <c r="F21" s="12">
        <f>F20+E21</f>
        <v>78.838174273858925</v>
      </c>
      <c r="G21" s="13">
        <f t="shared" si="12"/>
        <v>21.161825726141075</v>
      </c>
    </row>
    <row r="22" spans="2:14" ht="15.75" x14ac:dyDescent="0.25">
      <c r="B22" s="15">
        <v>100</v>
      </c>
      <c r="C22" s="10">
        <v>0.25</v>
      </c>
      <c r="D22" s="6">
        <v>62</v>
      </c>
      <c r="E22" s="11">
        <f>(D22/D24)*100</f>
        <v>12.863070539419086</v>
      </c>
      <c r="F22" s="12">
        <f t="shared" ref="F22" si="13">F21+E22</f>
        <v>91.701244813278009</v>
      </c>
      <c r="G22" s="13">
        <f t="shared" si="12"/>
        <v>8.2987551867219906</v>
      </c>
    </row>
    <row r="23" spans="2:14" ht="15.75" x14ac:dyDescent="0.25">
      <c r="B23" s="16" t="s">
        <v>11</v>
      </c>
      <c r="C23" s="17"/>
      <c r="D23" s="6">
        <v>40</v>
      </c>
      <c r="E23" s="11">
        <f>(D23/D24)*100</f>
        <v>8.2987551867219906</v>
      </c>
      <c r="F23" s="12"/>
      <c r="G23" s="13">
        <f>100-F23</f>
        <v>100</v>
      </c>
    </row>
    <row r="24" spans="2:14" ht="16.5" thickBot="1" x14ac:dyDescent="0.3">
      <c r="B24" s="18" t="s">
        <v>12</v>
      </c>
      <c r="C24" s="19"/>
      <c r="D24" s="20">
        <f>SUM(D16:D23)</f>
        <v>482</v>
      </c>
      <c r="E24" s="21">
        <f>SUM(E16:E23)</f>
        <v>100</v>
      </c>
      <c r="F24" s="21"/>
      <c r="G2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Márquez Velázquez</dc:creator>
  <cp:lastModifiedBy>Moisés Márquez Velázquez</cp:lastModifiedBy>
  <dcterms:created xsi:type="dcterms:W3CDTF">2025-07-16T19:37:52Z</dcterms:created>
  <dcterms:modified xsi:type="dcterms:W3CDTF">2026-07-15T16:53:38Z</dcterms:modified>
</cp:coreProperties>
</file>