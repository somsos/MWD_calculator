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<sst xmlns="http://schemas.openxmlformats.org/spreadsheetml/2006/main" count="66" uniqueCount="18">
  <si>
    <t xml:space="preserve">Datos Huerta</t>
  </si>
  <si>
    <t xml:space="preserve">Diametro Tamiz</t>
  </si>
  <si>
    <t xml:space="preserve">Peso suelo</t>
  </si>
  <si>
    <t xml:space="preserve">Diametro prom</t>
  </si>
  <si>
    <t xml:space="preserve">Porcion Suelo</t>
  </si>
  <si>
    <t xml:space="preserve">MWD</t>
  </si>
  <si>
    <t xml:space="preserve">Fondo</t>
  </si>
  <si>
    <t xml:space="preserve">Promedio</t>
  </si>
  <si>
    <t xml:space="preserve">Desv Estandar</t>
  </si>
  <si>
    <t xml:space="preserve">Suelo Salino</t>
  </si>
  <si>
    <t xml:space="preserve">N TAMIZ"</t>
  </si>
  <si>
    <t xml:space="preserve">FAC MALLA mm</t>
  </si>
  <si>
    <t xml:space="preserve">PESO PARCIAL</t>
  </si>
  <si>
    <t xml:space="preserve">% RETENIDO</t>
  </si>
  <si>
    <t xml:space="preserve">% RETENIDO ACUMULADO</t>
  </si>
  <si>
    <t xml:space="preserve">% PASANTE ACUMULADO </t>
  </si>
  <si>
    <t xml:space="preserve">FONDO</t>
  </si>
  <si>
    <t xml:space="preserve">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</si>
</sst>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"/>
    <numFmt numFmtId="167" formatCode="0"/>
    <numFmt numFmtId="168" formatCode="0.0000"/>
    <numFmt numFmtId="169" formatCode="@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onsolas"/>
      <family val="3"/>
      <charset val="1"/>
    </font>
    <font>
      <sz val="11"/>
      <color rgb="FF006100"/>
      <name val="Aptos Narrow"/>
      <family val="2"/>
      <charset val="1"/>
    </font>
    <font>
      <sz val="11"/>
      <color rgb="FF9C0006"/>
      <name val="Aptos Narrow"/>
      <family val="2"/>
      <charset val="1"/>
    </font>
    <font>
      <sz val="11"/>
      <color theme="0"/>
      <name val="Aptos Narrow"/>
      <family val="2"/>
      <charset val="1"/>
    </font>
    <font>
      <sz val="12"/>
      <name val="Consolas"/>
      <family val="3"/>
      <charset val="1"/>
    </font>
    <font>
      <b val="true"/>
      <sz val="12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theme="8"/>
        <bgColor rgb="FF993366"/>
      </patternFill>
    </fill>
    <fill>
      <patternFill patternType="solid">
        <fgColor theme="9"/>
        <bgColor rgb="FF808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theme="7" tint="0.5999"/>
        <bgColor rgb="FFCCCCFF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theme="1"/>
      </left>
      <right/>
      <top/>
      <bottom style="thin">
        <color theme="1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1"/>
      </left>
      <right/>
      <top style="thin">
        <color theme="1"/>
      </top>
      <bottom style="thin">
        <color theme="1"/>
      </bottom>
      <diagonal/>
    </border>
    <border diagonalUp="false" diagonalDown="false">
      <left style="thin">
        <color theme="1"/>
      </left>
      <right/>
      <top/>
      <bottom/>
      <diagonal/>
    </border>
    <border diagonalUp="false" diagonalDown="false">
      <left style="thin">
        <color theme="1"/>
      </left>
      <right style="thin">
        <color theme="1"/>
      </right>
      <top/>
      <bottom style="medium">
        <color theme="1"/>
      </bottom>
      <diagonal/>
    </border>
    <border diagonalUp="false" diagonalDown="false">
      <left style="thin">
        <color theme="1"/>
      </left>
      <right style="thin">
        <color theme="1"/>
      </right>
      <top/>
      <bottom style="thin">
        <color theme="1"/>
      </bottom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 diagonalUp="false" diagonalDown="false"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 diagonalUp="false" diagonalDown="false">
      <left style="medium">
        <color theme="1"/>
      </left>
      <right style="medium">
        <color theme="1"/>
      </right>
      <top style="medium">
        <color theme="1"/>
      </top>
      <bottom/>
      <diagonal/>
    </border>
    <border diagonalUp="false" diagonalDown="false">
      <left/>
      <right style="medium">
        <color theme="1"/>
      </right>
      <top style="medium">
        <color theme="1"/>
      </top>
      <bottom style="medium">
        <color theme="1"/>
      </bottom>
      <diagonal/>
    </border>
    <border diagonalUp="false" diagonalDown="false">
      <left style="medium">
        <color theme="1"/>
      </left>
      <right style="thin">
        <color theme="1"/>
      </right>
      <top/>
      <bottom style="thin">
        <color theme="1"/>
      </bottom>
      <diagonal/>
    </border>
    <border diagonalUp="false" diagonalDown="false">
      <left/>
      <right style="thin">
        <color theme="1"/>
      </right>
      <top/>
      <bottom style="thin">
        <color theme="1"/>
      </bottom>
      <diagonal/>
    </border>
    <border diagonalUp="false" diagonalDown="false">
      <left style="thin">
        <color theme="1"/>
      </left>
      <right style="medium">
        <color theme="1"/>
      </right>
      <top/>
      <bottom style="thin">
        <color theme="1"/>
      </bottom>
      <diagonal/>
    </border>
    <border diagonalUp="false" diagonalDown="false"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/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 diagonalUp="false" diagonalDown="false"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 diagonalUp="false" diagonalDown="false"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4" borderId="0" applyFont="true" applyBorder="false" applyAlignment="true" applyProtection="false">
      <alignment horizontal="general" vertical="bottom" textRotation="0" wrapText="false" indent="0" shrinkToFit="false"/>
    </xf>
    <xf numFmtId="164" fontId="7" fillId="5" borderId="0" applyFont="true" applyBorder="false" applyAlignment="true" applyProtection="false">
      <alignment horizontal="general" vertical="bottom" textRotation="0" wrapText="false" indent="0" shrinkToFit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8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6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8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9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5" borderId="8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10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  <cellStyle name="Excel Built-in Bad" xfId="21"/>
    <cellStyle name="Excel Built-in Accent5" xfId="22"/>
    <cellStyle name="Excel Built-in Accent6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B050"/>
      <rgbColor rgb="FFC0C0C0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6DCF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"/>
  <sheetViews>
    <sheetView showFormulas="false" showGridLines="true" showRowColHeaders="true" showZeros="true" rightToLeft="false" tabSelected="true" showOutlineSymbols="true" defaultGridColor="true" view="normal" topLeftCell="A2" colorId="64" zoomScale="120" zoomScaleNormal="120" zoomScalePageLayoutView="100" workbookViewId="0">
      <selection pane="topLeft" activeCell="G2" activeCellId="0" sqref="G2"/>
    </sheetView>
  </sheetViews>
  <sheetFormatPr defaultColWidth="10.3046875" defaultRowHeight="15" customHeight="false" zeroHeight="false" outlineLevelRow="0" outlineLevelCol="0"/>
  <cols>
    <col collapsed="false" customWidth="true" hidden="false" outlineLevel="0" max="2" min="2" style="0" width="14.86"/>
    <col collapsed="false" customWidth="true" hidden="false" outlineLevel="0" max="4" min="4" style="0" width="14.29"/>
    <col collapsed="false" customWidth="true" hidden="false" outlineLevel="0" max="5" min="5" style="0" width="13.14"/>
  </cols>
  <sheetData>
    <row r="1" customFormat="false" ht="15" hidden="false" customHeight="false" outlineLevel="0" collapsed="false">
      <c r="B1" s="0" t="s">
        <v>0</v>
      </c>
    </row>
    <row r="3" customFormat="false" ht="15" hidden="false" customHeight="false" outlineLevel="0" collapsed="false">
      <c r="B3" s="0" t="s">
        <v>1</v>
      </c>
      <c r="C3" s="0" t="s">
        <v>2</v>
      </c>
      <c r="D3" s="0" t="s">
        <v>3</v>
      </c>
      <c r="E3" s="0" t="s">
        <v>4</v>
      </c>
      <c r="F3" s="0" t="s">
        <v>5</v>
      </c>
    </row>
    <row r="4" customFormat="false" ht="15" hidden="false" customHeight="false" outlineLevel="0" collapsed="false">
      <c r="B4" s="1" t="n">
        <v>8</v>
      </c>
      <c r="C4" s="2" t="n">
        <v>0</v>
      </c>
      <c r="D4" s="0" t="n">
        <f aca="false">(B4+B5)/2</f>
        <v>6</v>
      </c>
      <c r="E4" s="3" t="n">
        <f aca="false">C4/$C$12</f>
        <v>0</v>
      </c>
      <c r="F4" s="3" t="n">
        <f aca="false">D4*E4</f>
        <v>0</v>
      </c>
    </row>
    <row r="5" customFormat="false" ht="15" hidden="false" customHeight="false" outlineLevel="0" collapsed="false">
      <c r="B5" s="4" t="n">
        <v>4</v>
      </c>
      <c r="C5" s="2" t="n">
        <v>3.4</v>
      </c>
      <c r="D5" s="0" t="n">
        <f aca="false">(B5+B6)/2</f>
        <v>3</v>
      </c>
      <c r="E5" s="3" t="n">
        <f aca="false">C5/$C$12</f>
        <v>0.0178928533838543</v>
      </c>
      <c r="F5" s="3" t="n">
        <f aca="false">D5*E5</f>
        <v>0.053678560151563</v>
      </c>
    </row>
    <row r="6" customFormat="false" ht="15" hidden="false" customHeight="false" outlineLevel="0" collapsed="false">
      <c r="B6" s="4" t="n">
        <v>2</v>
      </c>
      <c r="C6" s="2" t="n">
        <v>21.26</v>
      </c>
      <c r="D6" s="0" t="n">
        <f aca="false">(B6+B7)/2</f>
        <v>1.5</v>
      </c>
      <c r="E6" s="3" t="n">
        <f aca="false">C6/$C$12</f>
        <v>0.111882959688454</v>
      </c>
      <c r="F6" s="3" t="n">
        <f aca="false">D6*E6</f>
        <v>0.167824439532681</v>
      </c>
    </row>
    <row r="7" customFormat="false" ht="15" hidden="false" customHeight="false" outlineLevel="0" collapsed="false">
      <c r="B7" s="4" t="n">
        <v>1</v>
      </c>
      <c r="C7" s="2" t="n">
        <v>34.73</v>
      </c>
      <c r="D7" s="0" t="n">
        <f aca="false">(B7+B8)/2</f>
        <v>0.75</v>
      </c>
      <c r="E7" s="3" t="n">
        <f aca="false">C7/$C$12</f>
        <v>0.182770234712136</v>
      </c>
      <c r="F7" s="3" t="n">
        <f aca="false">D7*E7</f>
        <v>0.137077676034102</v>
      </c>
    </row>
    <row r="8" customFormat="false" ht="15" hidden="false" customHeight="false" outlineLevel="0" collapsed="false">
      <c r="B8" s="4" t="n">
        <v>0.5</v>
      </c>
      <c r="C8" s="2" t="n">
        <v>35.69</v>
      </c>
      <c r="D8" s="0" t="n">
        <f aca="false">(B8+B9)/2</f>
        <v>0.375</v>
      </c>
      <c r="E8" s="3" t="n">
        <f aca="false">C8/$C$12</f>
        <v>0.187822334491106</v>
      </c>
      <c r="F8" s="3" t="n">
        <f aca="false">D8*E8</f>
        <v>0.0704333754341648</v>
      </c>
    </row>
    <row r="9" customFormat="false" ht="15" hidden="false" customHeight="false" outlineLevel="0" collapsed="false">
      <c r="B9" s="4" t="n">
        <v>0.25</v>
      </c>
      <c r="C9" s="2" t="n">
        <v>31.31</v>
      </c>
      <c r="D9" s="0" t="n">
        <f aca="false">(B9+B10)/2</f>
        <v>0.1515</v>
      </c>
      <c r="E9" s="3" t="n">
        <f aca="false">C9/$C$12</f>
        <v>0.164772129249553</v>
      </c>
      <c r="F9" s="3" t="n">
        <f aca="false">D9*E9</f>
        <v>0.0249629775813072</v>
      </c>
    </row>
    <row r="10" customFormat="false" ht="15" hidden="false" customHeight="false" outlineLevel="0" collapsed="false">
      <c r="B10" s="4" t="n">
        <v>0.053</v>
      </c>
      <c r="C10" s="2" t="n">
        <v>38.26</v>
      </c>
      <c r="D10" s="0" t="n">
        <f aca="false">(B10+B11)/2</f>
        <v>0.0265</v>
      </c>
      <c r="E10" s="3" t="n">
        <f aca="false">C10/$C$12</f>
        <v>0.201347226607726</v>
      </c>
      <c r="F10" s="3" t="n">
        <f aca="false">D10*E10</f>
        <v>0.00533570150510473</v>
      </c>
    </row>
    <row r="11" customFormat="false" ht="15" hidden="false" customHeight="false" outlineLevel="0" collapsed="false">
      <c r="A11" s="0" t="s">
        <v>6</v>
      </c>
      <c r="B11" s="5" t="n">
        <v>0</v>
      </c>
      <c r="C11" s="2" t="n">
        <v>25.37</v>
      </c>
      <c r="D11" s="0" t="n">
        <f aca="false">(B11+B12)/2</f>
        <v>0</v>
      </c>
      <c r="E11" s="3" t="n">
        <f aca="false">C11/$C$12</f>
        <v>0.133512261867172</v>
      </c>
      <c r="F11" s="3" t="n">
        <f aca="false">D11*E11</f>
        <v>0</v>
      </c>
    </row>
    <row r="12" customFormat="false" ht="15" hidden="false" customHeight="false" outlineLevel="0" collapsed="false">
      <c r="B12" s="6"/>
      <c r="C12" s="6" t="n">
        <f aca="false">SUM(C4:C11)</f>
        <v>190.02</v>
      </c>
      <c r="D12" s="6"/>
      <c r="E12" s="6"/>
      <c r="F12" s="6" t="n">
        <f aca="false">SUM(F4:F11)</f>
        <v>0.459312730238922</v>
      </c>
    </row>
    <row r="14" customFormat="false" ht="15" hidden="false" customHeight="false" outlineLevel="0" collapsed="false">
      <c r="B14" s="0" t="s">
        <v>1</v>
      </c>
      <c r="C14" s="0" t="s">
        <v>2</v>
      </c>
      <c r="D14" s="0" t="s">
        <v>3</v>
      </c>
      <c r="E14" s="0" t="s">
        <v>4</v>
      </c>
      <c r="F14" s="0" t="s">
        <v>5</v>
      </c>
    </row>
    <row r="15" customFormat="false" ht="15" hidden="false" customHeight="false" outlineLevel="0" collapsed="false">
      <c r="B15" s="1" t="n">
        <v>6.36</v>
      </c>
      <c r="C15" s="2" t="n">
        <v>26</v>
      </c>
      <c r="D15" s="0" t="n">
        <f aca="false">(B15+B16)/2</f>
        <v>5.56</v>
      </c>
      <c r="E15" s="7" t="n">
        <f aca="false">C15/$C$23</f>
        <v>0.0556745182012848</v>
      </c>
      <c r="F15" s="3" t="n">
        <f aca="false">D15*E15</f>
        <v>0.309550321199144</v>
      </c>
    </row>
    <row r="16" customFormat="false" ht="15" hidden="false" customHeight="false" outlineLevel="0" collapsed="false">
      <c r="B16" s="4" t="n">
        <v>4.76</v>
      </c>
      <c r="C16" s="2" t="n">
        <v>87</v>
      </c>
      <c r="D16" s="0" t="n">
        <f aca="false">(B16+B17)/2</f>
        <v>4.06</v>
      </c>
      <c r="E16" s="7" t="n">
        <f aca="false">C16/$C$23</f>
        <v>0.186295503211991</v>
      </c>
      <c r="F16" s="3" t="n">
        <f aca="false">D16*E16</f>
        <v>0.756359743040685</v>
      </c>
    </row>
    <row r="17" customFormat="false" ht="15" hidden="false" customHeight="false" outlineLevel="0" collapsed="false">
      <c r="B17" s="4" t="n">
        <v>3.36</v>
      </c>
      <c r="C17" s="2" t="n">
        <v>70</v>
      </c>
      <c r="D17" s="0" t="n">
        <f aca="false">(B17+B18)/2</f>
        <v>2.68</v>
      </c>
      <c r="E17" s="7" t="n">
        <f aca="false">C17/$C$23</f>
        <v>0.149892933618844</v>
      </c>
      <c r="F17" s="3" t="n">
        <f aca="false">D17*E17</f>
        <v>0.401713062098501</v>
      </c>
    </row>
    <row r="18" customFormat="false" ht="15" hidden="false" customHeight="false" outlineLevel="0" collapsed="false">
      <c r="B18" s="4" t="n">
        <v>2</v>
      </c>
      <c r="C18" s="2" t="n">
        <v>79</v>
      </c>
      <c r="D18" s="0" t="n">
        <f aca="false">(B18+B19)/2</f>
        <v>1.5</v>
      </c>
      <c r="E18" s="7" t="n">
        <f aca="false">C18/$C$23</f>
        <v>0.169164882226981</v>
      </c>
      <c r="F18" s="3" t="n">
        <f aca="false">D18*E18</f>
        <v>0.253747323340471</v>
      </c>
    </row>
    <row r="19" customFormat="false" ht="15" hidden="false" customHeight="false" outlineLevel="0" collapsed="false">
      <c r="B19" s="4" t="n">
        <v>1</v>
      </c>
      <c r="C19" s="2" t="n">
        <v>70</v>
      </c>
      <c r="D19" s="0" t="n">
        <f aca="false">(B19+B20)/2</f>
        <v>0.75</v>
      </c>
      <c r="E19" s="7" t="n">
        <f aca="false">C19/$C$23</f>
        <v>0.149892933618844</v>
      </c>
      <c r="F19" s="3" t="n">
        <f aca="false">D19*E19</f>
        <v>0.112419700214133</v>
      </c>
    </row>
    <row r="20" customFormat="false" ht="15" hidden="false" customHeight="false" outlineLevel="0" collapsed="false">
      <c r="B20" s="4" t="n">
        <v>0.5</v>
      </c>
      <c r="C20" s="2" t="n">
        <v>86</v>
      </c>
      <c r="D20" s="0" t="n">
        <f aca="false">(B20+B21)/2</f>
        <v>0.375</v>
      </c>
      <c r="E20" s="7" t="n">
        <f aca="false">C20/$C$23</f>
        <v>0.184154175588865</v>
      </c>
      <c r="F20" s="3" t="n">
        <f aca="false">D20*E20</f>
        <v>0.0690578158458244</v>
      </c>
    </row>
    <row r="21" customFormat="false" ht="15" hidden="false" customHeight="false" outlineLevel="0" collapsed="false">
      <c r="B21" s="4" t="n">
        <v>0.25</v>
      </c>
      <c r="C21" s="2" t="n">
        <v>42</v>
      </c>
      <c r="D21" s="0" t="n">
        <f aca="false">(B21+B22)/2</f>
        <v>0.125</v>
      </c>
      <c r="E21" s="7" t="n">
        <f aca="false">C21/$C$23</f>
        <v>0.0899357601713062</v>
      </c>
      <c r="F21" s="3" t="n">
        <f aca="false">D21*E21</f>
        <v>0.0112419700214133</v>
      </c>
    </row>
    <row r="22" customFormat="false" ht="15" hidden="false" customHeight="false" outlineLevel="0" collapsed="false">
      <c r="A22" s="0" t="s">
        <v>6</v>
      </c>
      <c r="B22" s="5" t="n">
        <v>0</v>
      </c>
      <c r="C22" s="2" t="n">
        <v>7</v>
      </c>
      <c r="D22" s="0" t="n">
        <f aca="false">(B22+B23)/2</f>
        <v>0</v>
      </c>
      <c r="E22" s="7" t="n">
        <f aca="false">C22/$C$23</f>
        <v>0.0149892933618844</v>
      </c>
      <c r="F22" s="3" t="n">
        <f aca="false">D22*E22</f>
        <v>0</v>
      </c>
      <c r="H22" s="0" t="s">
        <v>7</v>
      </c>
      <c r="I22" s="0" t="s">
        <v>8</v>
      </c>
    </row>
    <row r="23" customFormat="false" ht="15" hidden="false" customHeight="false" outlineLevel="0" collapsed="false">
      <c r="B23" s="8"/>
      <c r="C23" s="8" t="n">
        <f aca="false">SUM(C15:C22)</f>
        <v>467</v>
      </c>
      <c r="D23" s="8"/>
      <c r="E23" s="8"/>
      <c r="F23" s="9" t="n">
        <f aca="false">SUM(F15:F22)</f>
        <v>1.91408993576017</v>
      </c>
      <c r="H23" s="3" t="n">
        <f aca="false">AVERAGE(F12,F23,F34)</f>
        <v>1.21884860650869</v>
      </c>
      <c r="I23" s="0" t="n">
        <f aca="false">_xlfn.STDEV.S(F23,F34,F12)</f>
        <v>0.729516635182686</v>
      </c>
    </row>
    <row r="25" customFormat="false" ht="15" hidden="false" customHeight="false" outlineLevel="0" collapsed="false">
      <c r="B25" s="0" t="s">
        <v>1</v>
      </c>
      <c r="C25" s="0" t="s">
        <v>2</v>
      </c>
      <c r="D25" s="0" t="s">
        <v>3</v>
      </c>
      <c r="E25" s="0" t="s">
        <v>4</v>
      </c>
      <c r="F25" s="0" t="s">
        <v>5</v>
      </c>
    </row>
    <row r="26" customFormat="false" ht="15" hidden="false" customHeight="false" outlineLevel="0" collapsed="false">
      <c r="B26" s="1" t="n">
        <v>6.36</v>
      </c>
      <c r="C26" s="2" t="n">
        <v>4</v>
      </c>
      <c r="D26" s="0" t="n">
        <f aca="false">(B26+B27)/2</f>
        <v>5.56</v>
      </c>
      <c r="E26" s="2" t="n">
        <f aca="false">C26/$C$34</f>
        <v>0.00829875518672199</v>
      </c>
      <c r="F26" s="3" t="n">
        <f aca="false">D26*E26</f>
        <v>0.0461410788381743</v>
      </c>
    </row>
    <row r="27" customFormat="false" ht="15" hidden="false" customHeight="false" outlineLevel="0" collapsed="false">
      <c r="B27" s="4" t="n">
        <v>4.76</v>
      </c>
      <c r="C27" s="2" t="n">
        <v>54</v>
      </c>
      <c r="D27" s="0" t="n">
        <f aca="false">(B27+B28)/2</f>
        <v>4.06</v>
      </c>
      <c r="E27" s="2" t="n">
        <f aca="false">C27/$C$34</f>
        <v>0.112033195020747</v>
      </c>
      <c r="F27" s="3" t="n">
        <f aca="false">D27*E27</f>
        <v>0.454854771784232</v>
      </c>
    </row>
    <row r="28" customFormat="false" ht="15" hidden="false" customHeight="false" outlineLevel="0" collapsed="false">
      <c r="B28" s="4" t="n">
        <v>3.36</v>
      </c>
      <c r="C28" s="2" t="n">
        <v>59</v>
      </c>
      <c r="D28" s="0" t="n">
        <f aca="false">(B28+B29)/2</f>
        <v>2.68</v>
      </c>
      <c r="E28" s="2" t="n">
        <f aca="false">C28/$C$34</f>
        <v>0.122406639004149</v>
      </c>
      <c r="F28" s="3" t="n">
        <f aca="false">D28*E28</f>
        <v>0.32804979253112</v>
      </c>
    </row>
    <row r="29" customFormat="false" ht="15" hidden="false" customHeight="false" outlineLevel="0" collapsed="false">
      <c r="B29" s="4" t="n">
        <v>2</v>
      </c>
      <c r="C29" s="2" t="n">
        <v>75</v>
      </c>
      <c r="D29" s="0" t="n">
        <f aca="false">(B29+B30)/2</f>
        <v>1.5</v>
      </c>
      <c r="E29" s="2" t="n">
        <f aca="false">C29/$C$34</f>
        <v>0.155601659751037</v>
      </c>
      <c r="F29" s="3" t="n">
        <f aca="false">D29*E29</f>
        <v>0.233402489626556</v>
      </c>
    </row>
    <row r="30" customFormat="false" ht="15" hidden="false" customHeight="false" outlineLevel="0" collapsed="false">
      <c r="B30" s="4" t="n">
        <v>1</v>
      </c>
      <c r="C30" s="2" t="n">
        <v>75</v>
      </c>
      <c r="D30" s="0" t="n">
        <f aca="false">(B30+B31)/2</f>
        <v>0.75</v>
      </c>
      <c r="E30" s="2" t="n">
        <f aca="false">C30/$C$34</f>
        <v>0.155601659751037</v>
      </c>
      <c r="F30" s="3" t="n">
        <f aca="false">D30*E30</f>
        <v>0.116701244813278</v>
      </c>
    </row>
    <row r="31" customFormat="false" ht="15" hidden="false" customHeight="false" outlineLevel="0" collapsed="false">
      <c r="B31" s="4" t="n">
        <v>0.5</v>
      </c>
      <c r="C31" s="2" t="n">
        <v>113</v>
      </c>
      <c r="D31" s="0" t="n">
        <f aca="false">(B31+B32)/2</f>
        <v>0.375</v>
      </c>
      <c r="E31" s="2" t="n">
        <f aca="false">C31/$C$34</f>
        <v>0.234439834024896</v>
      </c>
      <c r="F31" s="3" t="n">
        <f aca="false">D31*E31</f>
        <v>0.0879149377593361</v>
      </c>
    </row>
    <row r="32" customFormat="false" ht="15" hidden="false" customHeight="false" outlineLevel="0" collapsed="false">
      <c r="B32" s="4" t="n">
        <v>0.25</v>
      </c>
      <c r="C32" s="2" t="n">
        <v>62</v>
      </c>
      <c r="D32" s="0" t="n">
        <f aca="false">(B32+B33)/2</f>
        <v>0.125</v>
      </c>
      <c r="E32" s="2" t="n">
        <f aca="false">C32/$C$34</f>
        <v>0.128630705394191</v>
      </c>
      <c r="F32" s="3" t="n">
        <f aca="false">D32*E32</f>
        <v>0.0160788381742739</v>
      </c>
    </row>
    <row r="33" customFormat="false" ht="15" hidden="false" customHeight="false" outlineLevel="0" collapsed="false">
      <c r="A33" s="0" t="s">
        <v>6</v>
      </c>
      <c r="B33" s="5" t="n">
        <v>0</v>
      </c>
      <c r="C33" s="2" t="n">
        <v>40</v>
      </c>
      <c r="D33" s="0" t="n">
        <f aca="false">(B33+B34)/2</f>
        <v>0</v>
      </c>
      <c r="E33" s="2" t="n">
        <f aca="false">C33/$C$34</f>
        <v>0.0829875518672199</v>
      </c>
      <c r="F33" s="3" t="n">
        <f aca="false">D33*E33</f>
        <v>0</v>
      </c>
    </row>
    <row r="34" customFormat="false" ht="15" hidden="false" customHeight="false" outlineLevel="0" collapsed="false">
      <c r="B34" s="10"/>
      <c r="C34" s="11" t="n">
        <f aca="false">SUM(C26:C33)</f>
        <v>482</v>
      </c>
      <c r="D34" s="10"/>
      <c r="E34" s="10"/>
      <c r="F34" s="12" t="n">
        <f aca="false">SUM(F26:F33)</f>
        <v>1.28314315352697</v>
      </c>
    </row>
    <row r="37" customFormat="false" ht="15" hidden="false" customHeight="false" outlineLevel="0" collapsed="false">
      <c r="B37" s="0" t="s">
        <v>9</v>
      </c>
    </row>
    <row r="39" customFormat="false" ht="15" hidden="false" customHeight="false" outlineLevel="0" collapsed="false">
      <c r="B39" s="0" t="s">
        <v>1</v>
      </c>
      <c r="C39" s="0" t="s">
        <v>2</v>
      </c>
      <c r="D39" s="0" t="s">
        <v>3</v>
      </c>
      <c r="E39" s="0" t="s">
        <v>4</v>
      </c>
      <c r="F39" s="0" t="s">
        <v>5</v>
      </c>
    </row>
    <row r="40" customFormat="false" ht="15" hidden="false" customHeight="false" outlineLevel="0" collapsed="false">
      <c r="B40" s="1" t="n">
        <v>6.36</v>
      </c>
      <c r="C40" s="13" t="n">
        <v>32.6</v>
      </c>
      <c r="D40" s="0" t="n">
        <f aca="false">(B40+B41)/2</f>
        <v>5.56</v>
      </c>
      <c r="E40" s="3" t="n">
        <f aca="false">C40/$C$12</f>
        <v>0.171560888327545</v>
      </c>
      <c r="F40" s="3" t="n">
        <f aca="false">D40*E40</f>
        <v>0.953878539101147</v>
      </c>
    </row>
    <row r="41" customFormat="false" ht="15" hidden="false" customHeight="false" outlineLevel="0" collapsed="false">
      <c r="B41" s="4" t="n">
        <v>4.76</v>
      </c>
      <c r="C41" s="13" t="n">
        <v>2.4</v>
      </c>
      <c r="D41" s="0" t="n">
        <f aca="false">(B41+B42)/2</f>
        <v>4.06</v>
      </c>
      <c r="E41" s="3" t="n">
        <f aca="false">C41/$C$12</f>
        <v>0.0126302494474266</v>
      </c>
      <c r="F41" s="3" t="n">
        <f aca="false">D41*E41</f>
        <v>0.0512788127565519</v>
      </c>
    </row>
    <row r="42" customFormat="false" ht="15" hidden="false" customHeight="false" outlineLevel="0" collapsed="false">
      <c r="B42" s="4" t="n">
        <v>3.36</v>
      </c>
      <c r="C42" s="13" t="n">
        <v>9.7</v>
      </c>
      <c r="D42" s="0" t="n">
        <f aca="false">(B42+B43)/2</f>
        <v>2.68</v>
      </c>
      <c r="E42" s="3" t="n">
        <f aca="false">C42/$C$12</f>
        <v>0.0510472581833491</v>
      </c>
      <c r="F42" s="3" t="n">
        <f aca="false">D42*E42</f>
        <v>0.136806651931376</v>
      </c>
    </row>
    <row r="43" customFormat="false" ht="15" hidden="false" customHeight="false" outlineLevel="0" collapsed="false">
      <c r="B43" s="4" t="n">
        <v>2</v>
      </c>
      <c r="C43" s="13" t="n">
        <v>20.7</v>
      </c>
      <c r="D43" s="0" t="n">
        <f aca="false">(B43+B44)/2</f>
        <v>1.5</v>
      </c>
      <c r="E43" s="3" t="n">
        <f aca="false">C43/$C$12</f>
        <v>0.108935901484054</v>
      </c>
      <c r="F43" s="3" t="n">
        <f aca="false">D43*E43</f>
        <v>0.163403852226081</v>
      </c>
    </row>
    <row r="44" customFormat="false" ht="15" hidden="false" customHeight="false" outlineLevel="0" collapsed="false">
      <c r="B44" s="4" t="n">
        <v>1</v>
      </c>
      <c r="C44" s="13" t="n">
        <v>30.2</v>
      </c>
      <c r="D44" s="0" t="n">
        <f aca="false">(B44+B45)/2</f>
        <v>0.75</v>
      </c>
      <c r="E44" s="3" t="n">
        <f aca="false">C44/$C$12</f>
        <v>0.158930638880118</v>
      </c>
      <c r="F44" s="3" t="n">
        <f aca="false">D44*E44</f>
        <v>0.119197979160088</v>
      </c>
    </row>
    <row r="45" customFormat="false" ht="15" hidden="false" customHeight="false" outlineLevel="0" collapsed="false">
      <c r="B45" s="4" t="n">
        <v>0.5</v>
      </c>
      <c r="C45" s="13" t="n">
        <v>81.8</v>
      </c>
      <c r="D45" s="0" t="n">
        <f aca="false">(B45+B46)/2</f>
        <v>0.375</v>
      </c>
      <c r="E45" s="3" t="n">
        <f aca="false">C45/$C$12</f>
        <v>0.43048100199979</v>
      </c>
      <c r="F45" s="3" t="n">
        <f aca="false">D45*E45</f>
        <v>0.161430375749921</v>
      </c>
    </row>
    <row r="46" customFormat="false" ht="15" hidden="false" customHeight="false" outlineLevel="0" collapsed="false">
      <c r="B46" s="4" t="n">
        <v>0.25</v>
      </c>
      <c r="C46" s="13" t="n">
        <v>89.4</v>
      </c>
      <c r="D46" s="0" t="n">
        <f aca="false">(B46+B47)/2</f>
        <v>0.125</v>
      </c>
      <c r="E46" s="3" t="n">
        <f aca="false">C46/$C$12</f>
        <v>0.47047679191664</v>
      </c>
      <c r="F46" s="3" t="n">
        <f aca="false">D46*E46</f>
        <v>0.0588095989895801</v>
      </c>
    </row>
    <row r="47" customFormat="false" ht="15" hidden="false" customHeight="false" outlineLevel="0" collapsed="false">
      <c r="A47" s="0" t="s">
        <v>6</v>
      </c>
      <c r="B47" s="5" t="n">
        <v>0</v>
      </c>
      <c r="C47" s="13" t="n">
        <v>230.6</v>
      </c>
      <c r="D47" s="0" t="n">
        <f aca="false">(B47+B48)/2</f>
        <v>0</v>
      </c>
      <c r="E47" s="3" t="n">
        <f aca="false">C47/$C$12</f>
        <v>1.21355646774024</v>
      </c>
      <c r="F47" s="3" t="n">
        <f aca="false">D47*E47</f>
        <v>0</v>
      </c>
    </row>
    <row r="48" customFormat="false" ht="15" hidden="false" customHeight="false" outlineLevel="0" collapsed="false">
      <c r="B48" s="6"/>
      <c r="C48" s="14" t="n">
        <v>497.4</v>
      </c>
      <c r="D48" s="6"/>
      <c r="E48" s="6"/>
      <c r="F48" s="6" t="n">
        <f aca="false">SUM(F40:F47)</f>
        <v>1.64480580991475</v>
      </c>
    </row>
    <row r="50" customFormat="false" ht="15" hidden="false" customHeight="false" outlineLevel="0" collapsed="false">
      <c r="B50" s="0" t="s">
        <v>1</v>
      </c>
      <c r="C50" s="0" t="s">
        <v>2</v>
      </c>
      <c r="D50" s="0" t="s">
        <v>3</v>
      </c>
      <c r="E50" s="0" t="s">
        <v>4</v>
      </c>
      <c r="F50" s="0" t="s">
        <v>5</v>
      </c>
    </row>
    <row r="51" customFormat="false" ht="15" hidden="false" customHeight="false" outlineLevel="0" collapsed="false">
      <c r="B51" s="1" t="n">
        <v>6.36</v>
      </c>
      <c r="C51" s="13" t="n">
        <v>17.7</v>
      </c>
      <c r="D51" s="0" t="n">
        <f aca="false">(B51+B52)/2</f>
        <v>5.56</v>
      </c>
      <c r="E51" s="7" t="n">
        <f aca="false">C51/$C$23</f>
        <v>0.0379014989293362</v>
      </c>
      <c r="F51" s="3" t="n">
        <f aca="false">D51*E51</f>
        <v>0.210732334047109</v>
      </c>
    </row>
    <row r="52" customFormat="false" ht="15" hidden="false" customHeight="false" outlineLevel="0" collapsed="false">
      <c r="B52" s="4" t="n">
        <v>4.76</v>
      </c>
      <c r="C52" s="13" t="n">
        <v>1.7</v>
      </c>
      <c r="D52" s="0" t="n">
        <f aca="false">(B52+B53)/2</f>
        <v>4.06</v>
      </c>
      <c r="E52" s="7" t="n">
        <f aca="false">C52/$C$23</f>
        <v>0.00364025695931478</v>
      </c>
      <c r="F52" s="3" t="n">
        <f aca="false">D52*E52</f>
        <v>0.014779443254818</v>
      </c>
    </row>
    <row r="53" customFormat="false" ht="15" hidden="false" customHeight="false" outlineLevel="0" collapsed="false">
      <c r="B53" s="4" t="n">
        <v>3.36</v>
      </c>
      <c r="C53" s="13" t="n">
        <v>8.6</v>
      </c>
      <c r="D53" s="0" t="n">
        <f aca="false">(B53+B54)/2</f>
        <v>2.68</v>
      </c>
      <c r="E53" s="7" t="n">
        <f aca="false">C53/$C$23</f>
        <v>0.0184154175588865</v>
      </c>
      <c r="F53" s="3" t="n">
        <f aca="false">D53*E53</f>
        <v>0.0493533190578158</v>
      </c>
    </row>
    <row r="54" customFormat="false" ht="15" hidden="false" customHeight="false" outlineLevel="0" collapsed="false">
      <c r="B54" s="4" t="n">
        <v>2</v>
      </c>
      <c r="C54" s="13" t="n">
        <v>13.8</v>
      </c>
      <c r="D54" s="0" t="n">
        <f aca="false">(B54+B55)/2</f>
        <v>1.5</v>
      </c>
      <c r="E54" s="7" t="n">
        <f aca="false">C54/$C$23</f>
        <v>0.0295503211991435</v>
      </c>
      <c r="F54" s="3" t="n">
        <f aca="false">D54*E54</f>
        <v>0.0443254817987152</v>
      </c>
    </row>
    <row r="55" customFormat="false" ht="15" hidden="false" customHeight="false" outlineLevel="0" collapsed="false">
      <c r="B55" s="4" t="n">
        <v>1</v>
      </c>
      <c r="C55" s="13" t="n">
        <v>24.8</v>
      </c>
      <c r="D55" s="0" t="n">
        <f aca="false">(B55+B56)/2</f>
        <v>0.75</v>
      </c>
      <c r="E55" s="7" t="n">
        <f aca="false">C55/$C$23</f>
        <v>0.0531049250535332</v>
      </c>
      <c r="F55" s="3" t="n">
        <f aca="false">D55*E55</f>
        <v>0.0398286937901499</v>
      </c>
    </row>
    <row r="56" customFormat="false" ht="15" hidden="false" customHeight="false" outlineLevel="0" collapsed="false">
      <c r="B56" s="4" t="n">
        <v>0.5</v>
      </c>
      <c r="C56" s="13" t="n">
        <v>74.9</v>
      </c>
      <c r="D56" s="0" t="n">
        <f aca="false">(B56+B57)/2</f>
        <v>0.375</v>
      </c>
      <c r="E56" s="7" t="n">
        <f aca="false">C56/$C$23</f>
        <v>0.160385438972163</v>
      </c>
      <c r="F56" s="3" t="n">
        <f aca="false">D56*E56</f>
        <v>0.060144539614561</v>
      </c>
    </row>
    <row r="57" customFormat="false" ht="15" hidden="false" customHeight="false" outlineLevel="0" collapsed="false">
      <c r="B57" s="4" t="n">
        <v>0.25</v>
      </c>
      <c r="C57" s="13" t="n">
        <v>90.2</v>
      </c>
      <c r="D57" s="0" t="n">
        <f aca="false">(B57+B58)/2</f>
        <v>0.125</v>
      </c>
      <c r="E57" s="7" t="n">
        <f aca="false">C57/$C$23</f>
        <v>0.193147751605996</v>
      </c>
      <c r="F57" s="3" t="n">
        <f aca="false">D57*E57</f>
        <v>0.0241434689507495</v>
      </c>
    </row>
    <row r="58" customFormat="false" ht="15" hidden="false" customHeight="false" outlineLevel="0" collapsed="false">
      <c r="A58" s="0" t="s">
        <v>6</v>
      </c>
      <c r="B58" s="5" t="n">
        <v>0</v>
      </c>
      <c r="C58" s="13" t="n">
        <v>265.9</v>
      </c>
      <c r="D58" s="0" t="n">
        <f aca="false">(B58+B59)/2</f>
        <v>0</v>
      </c>
      <c r="E58" s="7" t="n">
        <f aca="false">C58/$C$23</f>
        <v>0.569379014989293</v>
      </c>
      <c r="F58" s="3" t="n">
        <f aca="false">D58*E58</f>
        <v>0</v>
      </c>
      <c r="H58" s="0" t="s">
        <v>7</v>
      </c>
      <c r="I58" s="0" t="s">
        <v>8</v>
      </c>
    </row>
    <row r="59" customFormat="false" ht="15" hidden="false" customHeight="false" outlineLevel="0" collapsed="false">
      <c r="B59" s="8"/>
      <c r="C59" s="8" t="n">
        <f aca="false">SUM(C51:C58)</f>
        <v>497.6</v>
      </c>
      <c r="D59" s="8"/>
      <c r="E59" s="8"/>
      <c r="F59" s="9" t="n">
        <f aca="false">SUM(F51:F58)</f>
        <v>0.443307280513919</v>
      </c>
      <c r="H59" s="3" t="n">
        <f aca="false">AVERAGE(F48,F59,F70)</f>
        <v>0.985310172604852</v>
      </c>
      <c r="I59" s="0" t="n">
        <f aca="false">_xlfn.STDEV.S(F59,F70,F48)</f>
        <v>0.609305414322246</v>
      </c>
    </row>
    <row r="61" customFormat="false" ht="15" hidden="false" customHeight="false" outlineLevel="0" collapsed="false">
      <c r="B61" s="0" t="s">
        <v>1</v>
      </c>
      <c r="C61" s="0" t="s">
        <v>2</v>
      </c>
      <c r="D61" s="0" t="s">
        <v>3</v>
      </c>
      <c r="E61" s="0" t="s">
        <v>4</v>
      </c>
      <c r="F61" s="0" t="s">
        <v>5</v>
      </c>
    </row>
    <row r="62" customFormat="false" ht="15" hidden="false" customHeight="false" outlineLevel="0" collapsed="false">
      <c r="B62" s="1" t="n">
        <v>6.36</v>
      </c>
      <c r="C62" s="13" t="n">
        <v>57</v>
      </c>
      <c r="D62" s="0" t="n">
        <f aca="false">(B62+B63)/2</f>
        <v>5.56</v>
      </c>
      <c r="E62" s="2" t="n">
        <f aca="false">C62/$C$34</f>
        <v>0.118257261410788</v>
      </c>
      <c r="F62" s="3" t="n">
        <f aca="false">D62*E62</f>
        <v>0.657510373443983</v>
      </c>
    </row>
    <row r="63" customFormat="false" ht="15" hidden="false" customHeight="false" outlineLevel="0" collapsed="false">
      <c r="B63" s="4" t="n">
        <v>4.76</v>
      </c>
      <c r="C63" s="13" t="n">
        <v>2.8</v>
      </c>
      <c r="D63" s="0" t="n">
        <f aca="false">(B63+B64)/2</f>
        <v>4.06</v>
      </c>
      <c r="E63" s="2" t="n">
        <f aca="false">C63/$C$34</f>
        <v>0.00580912863070539</v>
      </c>
      <c r="F63" s="3" t="n">
        <f aca="false">D63*E63</f>
        <v>0.0235850622406639</v>
      </c>
    </row>
    <row r="64" customFormat="false" ht="15" hidden="false" customHeight="false" outlineLevel="0" collapsed="false">
      <c r="B64" s="4" t="n">
        <v>3.36</v>
      </c>
      <c r="C64" s="13" t="n">
        <v>7.5</v>
      </c>
      <c r="D64" s="0" t="n">
        <f aca="false">(B64+B65)/2</f>
        <v>2.68</v>
      </c>
      <c r="E64" s="2" t="n">
        <f aca="false">C64/$C$34</f>
        <v>0.0155601659751037</v>
      </c>
      <c r="F64" s="3" t="n">
        <f aca="false">D64*E64</f>
        <v>0.041701244813278</v>
      </c>
    </row>
    <row r="65" customFormat="false" ht="15" hidden="false" customHeight="false" outlineLevel="0" collapsed="false">
      <c r="B65" s="4" t="n">
        <v>2</v>
      </c>
      <c r="C65" s="13" t="n">
        <v>13.9</v>
      </c>
      <c r="D65" s="0" t="n">
        <f aca="false">(B65+B66)/2</f>
        <v>1.5</v>
      </c>
      <c r="E65" s="2" t="n">
        <f aca="false">C65/$C$34</f>
        <v>0.0288381742738589</v>
      </c>
      <c r="F65" s="3" t="n">
        <f aca="false">D65*E65</f>
        <v>0.0432572614107884</v>
      </c>
    </row>
    <row r="66" customFormat="false" ht="15" hidden="false" customHeight="false" outlineLevel="0" collapsed="false">
      <c r="B66" s="4" t="n">
        <v>1</v>
      </c>
      <c r="C66" s="13" t="n">
        <v>21.3</v>
      </c>
      <c r="D66" s="0" t="n">
        <f aca="false">(B66+B67)/2</f>
        <v>0.75</v>
      </c>
      <c r="E66" s="2" t="n">
        <f aca="false">C66/$C$34</f>
        <v>0.0441908713692946</v>
      </c>
      <c r="F66" s="3" t="n">
        <f aca="false">D66*E66</f>
        <v>0.033143153526971</v>
      </c>
    </row>
    <row r="67" customFormat="false" ht="15" hidden="false" customHeight="false" outlineLevel="0" collapsed="false">
      <c r="B67" s="4" t="n">
        <v>0.5</v>
      </c>
      <c r="C67" s="13" t="n">
        <v>58.7</v>
      </c>
      <c r="D67" s="0" t="n">
        <f aca="false">(B67+B68)/2</f>
        <v>0.375</v>
      </c>
      <c r="E67" s="2" t="n">
        <f aca="false">C67/$C$34</f>
        <v>0.121784232365145</v>
      </c>
      <c r="F67" s="3" t="n">
        <f aca="false">D67*E67</f>
        <v>0.0456690871369295</v>
      </c>
    </row>
    <row r="68" customFormat="false" ht="15" hidden="false" customHeight="false" outlineLevel="0" collapsed="false">
      <c r="B68" s="4" t="n">
        <v>0.25</v>
      </c>
      <c r="C68" s="13" t="n">
        <v>88.5</v>
      </c>
      <c r="D68" s="0" t="n">
        <f aca="false">(B68+B69)/2</f>
        <v>0.125</v>
      </c>
      <c r="E68" s="2" t="n">
        <f aca="false">C68/$C$34</f>
        <v>0.183609958506224</v>
      </c>
      <c r="F68" s="3" t="n">
        <f aca="false">D68*E68</f>
        <v>0.022951244813278</v>
      </c>
    </row>
    <row r="69" customFormat="false" ht="15" hidden="false" customHeight="false" outlineLevel="0" collapsed="false">
      <c r="A69" s="0" t="s">
        <v>6</v>
      </c>
      <c r="B69" s="5" t="n">
        <v>0</v>
      </c>
      <c r="C69" s="13" t="n">
        <v>247.8</v>
      </c>
      <c r="D69" s="0" t="n">
        <f aca="false">(B69+B70)/2</f>
        <v>0</v>
      </c>
      <c r="E69" s="2" t="n">
        <f aca="false">C69/$C$34</f>
        <v>0.514107883817427</v>
      </c>
      <c r="F69" s="3" t="n">
        <f aca="false">D69*E69</f>
        <v>0</v>
      </c>
    </row>
    <row r="70" customFormat="false" ht="15" hidden="false" customHeight="false" outlineLevel="0" collapsed="false">
      <c r="B70" s="10"/>
      <c r="C70" s="11" t="n">
        <f aca="false">SUM(C62:C69)</f>
        <v>497.5</v>
      </c>
      <c r="D70" s="10"/>
      <c r="E70" s="10"/>
      <c r="F70" s="12" t="n">
        <f aca="false">SUM(F62:F69)</f>
        <v>0.867817427385892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2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16" activeCellId="0" sqref="D16"/>
    </sheetView>
  </sheetViews>
  <sheetFormatPr defaultColWidth="10.3046875" defaultRowHeight="15" customHeight="false" zeroHeight="false" outlineLevelRow="0" outlineLevelCol="0"/>
  <sheetData>
    <row r="2" customFormat="false" ht="15" hidden="false" customHeight="false" outlineLevel="0" collapsed="false">
      <c r="B2" s="0" t="n">
        <v>480</v>
      </c>
    </row>
    <row r="3" customFormat="false" ht="15" hidden="false" customHeight="false" outlineLevel="0" collapsed="false">
      <c r="B3" s="15" t="s">
        <v>10</v>
      </c>
      <c r="C3" s="15" t="s">
        <v>11</v>
      </c>
      <c r="D3" s="16" t="s">
        <v>12</v>
      </c>
      <c r="E3" s="17" t="s">
        <v>13</v>
      </c>
      <c r="F3" s="15" t="s">
        <v>14</v>
      </c>
      <c r="G3" s="18" t="s">
        <v>15</v>
      </c>
    </row>
    <row r="4" customFormat="false" ht="15" hidden="false" customHeight="false" outlineLevel="0" collapsed="false">
      <c r="B4" s="19" t="n">
        <v>4</v>
      </c>
      <c r="C4" s="1" t="n">
        <v>6.36</v>
      </c>
      <c r="D4" s="2" t="n">
        <v>30</v>
      </c>
      <c r="E4" s="20" t="n">
        <f aca="false">(D4/D12)*100</f>
        <v>6.14754098360656</v>
      </c>
      <c r="F4" s="21" t="n">
        <f aca="false">E4</f>
        <v>6.14754098360656</v>
      </c>
      <c r="G4" s="22" t="n">
        <f aca="false">100-F4</f>
        <v>93.8524590163934</v>
      </c>
    </row>
    <row r="5" customFormat="false" ht="15" hidden="false" customHeight="false" outlineLevel="0" collapsed="false">
      <c r="B5" s="23" t="n">
        <v>10</v>
      </c>
      <c r="C5" s="4" t="n">
        <v>4.76</v>
      </c>
      <c r="D5" s="2" t="n">
        <v>81</v>
      </c>
      <c r="E5" s="24" t="n">
        <f aca="false">(D5/D12)*100</f>
        <v>16.5983606557377</v>
      </c>
      <c r="F5" s="25" t="n">
        <f aca="false">F4+E5</f>
        <v>22.7459016393443</v>
      </c>
      <c r="G5" s="26" t="n">
        <f aca="false">100-F5</f>
        <v>77.2540983606558</v>
      </c>
    </row>
    <row r="6" customFormat="false" ht="15" hidden="false" customHeight="false" outlineLevel="0" collapsed="false">
      <c r="B6" s="23" t="n">
        <v>20</v>
      </c>
      <c r="C6" s="4" t="n">
        <v>3.36</v>
      </c>
      <c r="D6" s="2" t="n">
        <v>85</v>
      </c>
      <c r="E6" s="24" t="n">
        <f aca="false">(D6/D12)*100</f>
        <v>17.4180327868852</v>
      </c>
      <c r="F6" s="25" t="n">
        <f aca="false">F5+E6</f>
        <v>40.1639344262295</v>
      </c>
      <c r="G6" s="26" t="n">
        <f aca="false">100-F6</f>
        <v>59.8360655737705</v>
      </c>
    </row>
    <row r="7" customFormat="false" ht="15" hidden="false" customHeight="false" outlineLevel="0" collapsed="false">
      <c r="B7" s="23" t="n">
        <v>40</v>
      </c>
      <c r="C7" s="4" t="n">
        <v>2</v>
      </c>
      <c r="D7" s="2" t="n">
        <v>84</v>
      </c>
      <c r="E7" s="24" t="n">
        <f aca="false">(D7/D12)*100</f>
        <v>17.2131147540984</v>
      </c>
      <c r="F7" s="25" t="n">
        <f aca="false">F6+E7</f>
        <v>57.3770491803279</v>
      </c>
      <c r="G7" s="26" t="n">
        <f aca="false">100-F7</f>
        <v>42.6229508196721</v>
      </c>
    </row>
    <row r="8" customFormat="false" ht="15" hidden="false" customHeight="false" outlineLevel="0" collapsed="false">
      <c r="B8" s="23" t="n">
        <v>60</v>
      </c>
      <c r="C8" s="4" t="n">
        <v>1</v>
      </c>
      <c r="D8" s="2" t="n">
        <v>73</v>
      </c>
      <c r="E8" s="24" t="n">
        <f aca="false">(D8/D12)*100</f>
        <v>14.9590163934426</v>
      </c>
      <c r="F8" s="25" t="n">
        <f aca="false">F7+E8</f>
        <v>72.3360655737705</v>
      </c>
      <c r="G8" s="26" t="n">
        <f aca="false">100-F8</f>
        <v>27.6639344262295</v>
      </c>
      <c r="I8" s="0" t="n">
        <v>480</v>
      </c>
    </row>
    <row r="9" customFormat="false" ht="15" hidden="false" customHeight="false" outlineLevel="0" collapsed="false">
      <c r="B9" s="23" t="n">
        <v>80</v>
      </c>
      <c r="C9" s="4" t="n">
        <v>0.5</v>
      </c>
      <c r="D9" s="2" t="n">
        <v>83</v>
      </c>
      <c r="E9" s="24" t="n">
        <f aca="false">(D9/D12)*100</f>
        <v>17.0081967213115</v>
      </c>
      <c r="F9" s="25" t="n">
        <f aca="false">F8+E9</f>
        <v>89.344262295082</v>
      </c>
      <c r="G9" s="26" t="n">
        <f aca="false">100-F9</f>
        <v>10.655737704918</v>
      </c>
      <c r="I9" s="15" t="s">
        <v>10</v>
      </c>
      <c r="J9" s="15" t="s">
        <v>11</v>
      </c>
      <c r="K9" s="16" t="s">
        <v>12</v>
      </c>
      <c r="L9" s="17" t="s">
        <v>13</v>
      </c>
      <c r="M9" s="15" t="s">
        <v>14</v>
      </c>
      <c r="N9" s="18" t="s">
        <v>15</v>
      </c>
    </row>
    <row r="10" customFormat="false" ht="15" hidden="false" customHeight="false" outlineLevel="0" collapsed="false">
      <c r="B10" s="23" t="n">
        <v>100</v>
      </c>
      <c r="C10" s="4" t="n">
        <v>0.25</v>
      </c>
      <c r="D10" s="2" t="n">
        <v>32</v>
      </c>
      <c r="E10" s="24" t="n">
        <f aca="false">(D10/D12)*100</f>
        <v>6.55737704918033</v>
      </c>
      <c r="F10" s="25" t="n">
        <f aca="false">F9+E10</f>
        <v>95.9016393442623</v>
      </c>
      <c r="G10" s="26" t="n">
        <f aca="false">100-F10</f>
        <v>4.09836065573771</v>
      </c>
      <c r="I10" s="19" t="n">
        <v>4</v>
      </c>
      <c r="J10" s="1" t="n">
        <v>6.36</v>
      </c>
      <c r="K10" s="2" t="n">
        <v>26</v>
      </c>
      <c r="L10" s="20" t="n">
        <f aca="false">(K10/K18)*100</f>
        <v>5.56745182012848</v>
      </c>
      <c r="M10" s="21" t="n">
        <f aca="false">L10</f>
        <v>5.56745182012848</v>
      </c>
      <c r="N10" s="22" t="n">
        <f aca="false">100-M10</f>
        <v>94.4325481798715</v>
      </c>
    </row>
    <row r="11" customFormat="false" ht="15" hidden="false" customHeight="false" outlineLevel="0" collapsed="false">
      <c r="B11" s="27" t="s">
        <v>16</v>
      </c>
      <c r="C11" s="28"/>
      <c r="D11" s="2" t="n">
        <v>20</v>
      </c>
      <c r="E11" s="24" t="n">
        <f aca="false">(D11/D12)*100</f>
        <v>4.09836065573771</v>
      </c>
      <c r="F11" s="25"/>
      <c r="G11" s="26" t="n">
        <f aca="false">100-F11</f>
        <v>100</v>
      </c>
      <c r="I11" s="23" t="n">
        <v>10</v>
      </c>
      <c r="J11" s="4" t="n">
        <v>4.76</v>
      </c>
      <c r="K11" s="2" t="n">
        <v>87</v>
      </c>
      <c r="L11" s="24" t="n">
        <f aca="false">(K11/K18)*100</f>
        <v>18.6295503211991</v>
      </c>
      <c r="M11" s="25" t="n">
        <f aca="false">M10+L11</f>
        <v>24.1970021413276</v>
      </c>
      <c r="N11" s="26" t="n">
        <f aca="false">100-M11</f>
        <v>75.8029978586724</v>
      </c>
    </row>
    <row r="12" customFormat="false" ht="15" hidden="false" customHeight="false" outlineLevel="0" collapsed="false">
      <c r="B12" s="29" t="s">
        <v>17</v>
      </c>
      <c r="C12" s="30"/>
      <c r="D12" s="31" t="n">
        <f aca="false">SUM(D4:D11)</f>
        <v>488</v>
      </c>
      <c r="E12" s="32" t="n">
        <f aca="false">SUM(E4:E11)</f>
        <v>100</v>
      </c>
      <c r="F12" s="32"/>
      <c r="G12" s="33"/>
      <c r="I12" s="23" t="n">
        <v>20</v>
      </c>
      <c r="J12" s="4" t="n">
        <v>3.36</v>
      </c>
      <c r="K12" s="2" t="n">
        <v>70</v>
      </c>
      <c r="L12" s="24" t="n">
        <f aca="false">(K12/K18)*100</f>
        <v>14.9892933618844</v>
      </c>
      <c r="M12" s="25" t="n">
        <f aca="false">M11+L12</f>
        <v>39.186295503212</v>
      </c>
      <c r="N12" s="26" t="n">
        <f aca="false">100-M12</f>
        <v>60.813704496788</v>
      </c>
    </row>
    <row r="13" customFormat="false" ht="15" hidden="false" customHeight="false" outlineLevel="0" collapsed="false">
      <c r="I13" s="23" t="n">
        <v>40</v>
      </c>
      <c r="J13" s="4" t="n">
        <v>2</v>
      </c>
      <c r="K13" s="2" t="n">
        <v>79</v>
      </c>
      <c r="L13" s="24" t="n">
        <f aca="false">(K13/K18)*100</f>
        <v>16.9164882226981</v>
      </c>
      <c r="M13" s="25" t="n">
        <f aca="false">M12+L13</f>
        <v>56.1027837259101</v>
      </c>
      <c r="N13" s="26" t="n">
        <f aca="false">100-M13</f>
        <v>43.8972162740899</v>
      </c>
    </row>
    <row r="14" customFormat="false" ht="15" hidden="false" customHeight="false" outlineLevel="0" collapsed="false">
      <c r="B14" s="0" t="n">
        <v>480</v>
      </c>
      <c r="I14" s="23" t="n">
        <v>60</v>
      </c>
      <c r="J14" s="4" t="n">
        <v>1</v>
      </c>
      <c r="K14" s="2" t="n">
        <v>70</v>
      </c>
      <c r="L14" s="24" t="n">
        <f aca="false">(K14/K18)*100</f>
        <v>14.9892933618844</v>
      </c>
      <c r="M14" s="25" t="n">
        <f aca="false">M13+L14</f>
        <v>71.0920770877944</v>
      </c>
      <c r="N14" s="26" t="n">
        <f aca="false">100-M14</f>
        <v>28.9079229122056</v>
      </c>
    </row>
    <row r="15" customFormat="false" ht="15" hidden="false" customHeight="false" outlineLevel="0" collapsed="false">
      <c r="B15" s="15" t="s">
        <v>10</v>
      </c>
      <c r="C15" s="15" t="s">
        <v>11</v>
      </c>
      <c r="D15" s="16" t="s">
        <v>12</v>
      </c>
      <c r="E15" s="17" t="s">
        <v>13</v>
      </c>
      <c r="F15" s="15" t="s">
        <v>14</v>
      </c>
      <c r="G15" s="18" t="s">
        <v>15</v>
      </c>
      <c r="I15" s="23" t="n">
        <v>80</v>
      </c>
      <c r="J15" s="4" t="n">
        <v>0.5</v>
      </c>
      <c r="K15" s="2" t="n">
        <v>86</v>
      </c>
      <c r="L15" s="24" t="n">
        <f aca="false">(K15/K18)*100</f>
        <v>18.4154175588865</v>
      </c>
      <c r="M15" s="25" t="n">
        <f aca="false">M14+L15</f>
        <v>89.507494646681</v>
      </c>
      <c r="N15" s="26" t="n">
        <f aca="false">100-M15</f>
        <v>10.492505353319</v>
      </c>
    </row>
    <row r="16" customFormat="false" ht="15" hidden="false" customHeight="false" outlineLevel="0" collapsed="false">
      <c r="B16" s="19" t="n">
        <v>4</v>
      </c>
      <c r="C16" s="1" t="n">
        <v>6.36</v>
      </c>
      <c r="D16" s="2" t="n">
        <v>4</v>
      </c>
      <c r="E16" s="20" t="n">
        <f aca="false">(D16/D24)*100</f>
        <v>0.829875518672199</v>
      </c>
      <c r="F16" s="21" t="n">
        <f aca="false">E16</f>
        <v>0.829875518672199</v>
      </c>
      <c r="G16" s="22" t="n">
        <f aca="false">100-F16</f>
        <v>99.1701244813278</v>
      </c>
      <c r="I16" s="23" t="n">
        <v>100</v>
      </c>
      <c r="J16" s="4" t="n">
        <v>0.25</v>
      </c>
      <c r="K16" s="2" t="n">
        <v>42</v>
      </c>
      <c r="L16" s="24" t="n">
        <f aca="false">(K16/K18)*100</f>
        <v>8.99357601713062</v>
      </c>
      <c r="M16" s="25" t="n">
        <f aca="false">M15+L16</f>
        <v>98.5010706638116</v>
      </c>
      <c r="N16" s="26" t="n">
        <f aca="false">100-M16</f>
        <v>1.49892933618843</v>
      </c>
    </row>
    <row r="17" customFormat="false" ht="15" hidden="false" customHeight="false" outlineLevel="0" collapsed="false">
      <c r="B17" s="23" t="n">
        <v>10</v>
      </c>
      <c r="C17" s="4" t="n">
        <v>4.76</v>
      </c>
      <c r="D17" s="2" t="n">
        <v>54</v>
      </c>
      <c r="E17" s="24" t="n">
        <f aca="false">(D17/D24)*100</f>
        <v>11.2033195020747</v>
      </c>
      <c r="F17" s="25" t="n">
        <f aca="false">F16+E17</f>
        <v>12.0331950207469</v>
      </c>
      <c r="G17" s="26" t="n">
        <f aca="false">100-F17</f>
        <v>87.9668049792531</v>
      </c>
      <c r="I17" s="27" t="s">
        <v>16</v>
      </c>
      <c r="J17" s="28"/>
      <c r="K17" s="2" t="n">
        <v>7</v>
      </c>
      <c r="L17" s="24" t="n">
        <f aca="false">(K17/K18)*100</f>
        <v>1.49892933618844</v>
      </c>
      <c r="M17" s="25"/>
      <c r="N17" s="26" t="n">
        <f aca="false">100-M17</f>
        <v>100</v>
      </c>
    </row>
    <row r="18" customFormat="false" ht="15" hidden="false" customHeight="false" outlineLevel="0" collapsed="false">
      <c r="B18" s="23" t="n">
        <v>20</v>
      </c>
      <c r="C18" s="4" t="n">
        <v>3.36</v>
      </c>
      <c r="D18" s="2" t="n">
        <v>59</v>
      </c>
      <c r="E18" s="24" t="n">
        <f aca="false">(D18/D24)*100</f>
        <v>12.2406639004149</v>
      </c>
      <c r="F18" s="25" t="n">
        <f aca="false">F17+E18</f>
        <v>24.2738589211618</v>
      </c>
      <c r="G18" s="26" t="n">
        <f aca="false">100-F18</f>
        <v>75.7261410788382</v>
      </c>
      <c r="I18" s="29" t="s">
        <v>17</v>
      </c>
      <c r="J18" s="30"/>
      <c r="K18" s="31" t="n">
        <f aca="false">SUM(K10:K17)</f>
        <v>467</v>
      </c>
      <c r="L18" s="32" t="n">
        <f aca="false">SUM(L10:L17)</f>
        <v>100</v>
      </c>
      <c r="M18" s="32"/>
      <c r="N18" s="33"/>
    </row>
    <row r="19" customFormat="false" ht="15" hidden="false" customHeight="false" outlineLevel="0" collapsed="false">
      <c r="B19" s="23" t="n">
        <v>40</v>
      </c>
      <c r="C19" s="4" t="n">
        <v>2</v>
      </c>
      <c r="D19" s="2" t="n">
        <v>75</v>
      </c>
      <c r="E19" s="24" t="n">
        <f aca="false">(D19/D24)*100</f>
        <v>15.5601659751037</v>
      </c>
      <c r="F19" s="25" t="n">
        <f aca="false">F18+E19</f>
        <v>39.8340248962656</v>
      </c>
      <c r="G19" s="26" t="n">
        <f aca="false">100-F19</f>
        <v>60.1659751037344</v>
      </c>
    </row>
    <row r="20" customFormat="false" ht="15" hidden="false" customHeight="false" outlineLevel="0" collapsed="false">
      <c r="B20" s="23" t="n">
        <v>60</v>
      </c>
      <c r="C20" s="4" t="n">
        <v>1</v>
      </c>
      <c r="D20" s="2" t="n">
        <v>75</v>
      </c>
      <c r="E20" s="24" t="n">
        <f aca="false">(D20/D24)*100</f>
        <v>15.5601659751037</v>
      </c>
      <c r="F20" s="25" t="n">
        <f aca="false">F19+E20</f>
        <v>55.3941908713693</v>
      </c>
      <c r="G20" s="26" t="n">
        <f aca="false">100-F20</f>
        <v>44.6058091286307</v>
      </c>
    </row>
    <row r="21" customFormat="false" ht="15" hidden="false" customHeight="false" outlineLevel="0" collapsed="false">
      <c r="B21" s="23" t="n">
        <v>80</v>
      </c>
      <c r="C21" s="4" t="n">
        <v>0.5</v>
      </c>
      <c r="D21" s="2" t="n">
        <v>113</v>
      </c>
      <c r="E21" s="24" t="n">
        <f aca="false">(D21/D24)*100</f>
        <v>23.4439834024896</v>
      </c>
      <c r="F21" s="25" t="n">
        <f aca="false">F20+E21</f>
        <v>78.8381742738589</v>
      </c>
      <c r="G21" s="26" t="n">
        <f aca="false">100-F21</f>
        <v>21.1618257261411</v>
      </c>
    </row>
    <row r="22" customFormat="false" ht="15" hidden="false" customHeight="false" outlineLevel="0" collapsed="false">
      <c r="B22" s="23" t="n">
        <v>100</v>
      </c>
      <c r="C22" s="4" t="n">
        <v>0.25</v>
      </c>
      <c r="D22" s="2" t="n">
        <v>62</v>
      </c>
      <c r="E22" s="24" t="n">
        <f aca="false">(D22/D24)*100</f>
        <v>12.8630705394191</v>
      </c>
      <c r="F22" s="25" t="n">
        <f aca="false">F21+E22</f>
        <v>91.701244813278</v>
      </c>
      <c r="G22" s="26" t="n">
        <f aca="false">100-F22</f>
        <v>8.29875518672199</v>
      </c>
    </row>
    <row r="23" customFormat="false" ht="15" hidden="false" customHeight="false" outlineLevel="0" collapsed="false">
      <c r="B23" s="27" t="s">
        <v>16</v>
      </c>
      <c r="C23" s="28"/>
      <c r="D23" s="2" t="n">
        <v>40</v>
      </c>
      <c r="E23" s="24" t="n">
        <f aca="false">(D23/D24)*100</f>
        <v>8.29875518672199</v>
      </c>
      <c r="F23" s="25"/>
      <c r="G23" s="26" t="n">
        <f aca="false">100-F23</f>
        <v>100</v>
      </c>
    </row>
    <row r="24" customFormat="false" ht="15" hidden="false" customHeight="false" outlineLevel="0" collapsed="false">
      <c r="B24" s="29" t="s">
        <v>17</v>
      </c>
      <c r="C24" s="30"/>
      <c r="D24" s="31" t="n">
        <f aca="false">SUM(D16:D23)</f>
        <v>482</v>
      </c>
      <c r="E24" s="32" t="n">
        <f aca="false">SUM(E16:E23)</f>
        <v>100</v>
      </c>
      <c r="F24" s="32"/>
      <c r="G24" s="3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LibreOffice/25.8.7.3$Linux_X86_64 LibreOffice_project/a26b9a50e66725c984547fe0389e2687ecedaa0c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2025-07-16T19:37:52Z</dcterms:created>
  <dc:creator>Moisés Márquez Velázquez</dc:creator>
  <dc:description/>
  <dc:language>en-US</dc:language>
  <cp:lastModifiedBy/>
  <dcterms:modified xsi:type="dcterms:W3CDTF">2026-08-04T10:39:17Z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